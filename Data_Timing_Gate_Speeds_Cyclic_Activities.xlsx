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arvin/Downloads/"/>
    </mc:Choice>
  </mc:AlternateContent>
  <xr:revisionPtr revIDLastSave="0" documentId="8_{E2CD2B95-8E14-D64D-8099-468A54BCA99E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Raw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4" i="1" l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63" i="1"/>
  <c r="G163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F284" i="1"/>
  <c r="G284" i="1" s="1"/>
  <c r="F285" i="1"/>
  <c r="G285" i="1" s="1"/>
  <c r="F286" i="1"/>
  <c r="G286" i="1" s="1"/>
  <c r="F287" i="1"/>
  <c r="G287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C55" i="2"/>
  <c r="D55" i="2" s="1"/>
  <c r="C54" i="2"/>
  <c r="D54" i="2" s="1"/>
  <c r="C50" i="2"/>
  <c r="D50" i="2" s="1"/>
  <c r="C49" i="2"/>
  <c r="D49" i="2" s="1"/>
  <c r="C45" i="2"/>
  <c r="D45" i="2" s="1"/>
  <c r="C44" i="2"/>
  <c r="D44" i="2" s="1"/>
  <c r="C40" i="2"/>
  <c r="D40" i="2" s="1"/>
  <c r="C39" i="2"/>
  <c r="D39" i="2" s="1"/>
  <c r="C35" i="2"/>
  <c r="D35" i="2" s="1"/>
  <c r="C34" i="2"/>
  <c r="D34" i="2" s="1"/>
  <c r="C30" i="2"/>
  <c r="D30" i="2" s="1"/>
  <c r="C29" i="2"/>
  <c r="D29" i="2" s="1"/>
  <c r="C25" i="2"/>
  <c r="D25" i="2" s="1"/>
  <c r="C24" i="2"/>
  <c r="D24" i="2" s="1"/>
  <c r="C20" i="2"/>
  <c r="D20" i="2" s="1"/>
  <c r="C19" i="2"/>
  <c r="D19" i="2" s="1"/>
  <c r="C15" i="2"/>
  <c r="D15" i="2" s="1"/>
  <c r="C14" i="2"/>
  <c r="D14" i="2" s="1"/>
  <c r="C10" i="2"/>
  <c r="D10" i="2" s="1"/>
  <c r="C9" i="2"/>
  <c r="D9" i="2" s="1"/>
  <c r="C53" i="2" l="1"/>
  <c r="D53" i="2" s="1"/>
  <c r="C42" i="2"/>
  <c r="D42" i="2" s="1"/>
  <c r="E42" i="2" s="1"/>
  <c r="C26" i="2"/>
  <c r="D26" i="2" s="1"/>
  <c r="E26" i="2" s="1"/>
  <c r="C48" i="2"/>
  <c r="D48" i="2" s="1"/>
  <c r="E48" i="2" s="1"/>
  <c r="C28" i="2"/>
  <c r="D28" i="2" s="1"/>
  <c r="E28" i="2" s="1"/>
  <c r="C41" i="2"/>
  <c r="D41" i="2" s="1"/>
  <c r="E41" i="2" s="1"/>
  <c r="C52" i="2"/>
  <c r="D52" i="2" s="1"/>
  <c r="E52" i="2" s="1"/>
  <c r="C22" i="2"/>
  <c r="D22" i="2" s="1"/>
  <c r="E22" i="2" s="1"/>
  <c r="C23" i="2"/>
  <c r="D23" i="2" s="1"/>
  <c r="E23" i="2" s="1"/>
  <c r="C46" i="2"/>
  <c r="D46" i="2" s="1"/>
  <c r="E46" i="2" s="1"/>
  <c r="C38" i="2"/>
  <c r="D38" i="2" s="1"/>
  <c r="E38" i="2" s="1"/>
  <c r="C51" i="2"/>
  <c r="D51" i="2" s="1"/>
  <c r="E51" i="2" s="1"/>
  <c r="G112" i="1"/>
  <c r="C37" i="2"/>
  <c r="D37" i="2" s="1"/>
  <c r="E37" i="2" s="1"/>
  <c r="G153" i="1"/>
  <c r="G125" i="1"/>
  <c r="G283" i="1"/>
  <c r="C43" i="2"/>
  <c r="D43" i="2" s="1"/>
  <c r="E43" i="2" s="1"/>
  <c r="C47" i="2"/>
  <c r="D47" i="2" s="1"/>
  <c r="E47" i="2" s="1"/>
  <c r="C31" i="2"/>
  <c r="D31" i="2" s="1"/>
  <c r="E31" i="2" s="1"/>
  <c r="C32" i="2"/>
  <c r="D32" i="2" s="1"/>
  <c r="E32" i="2" s="1"/>
  <c r="C36" i="2"/>
  <c r="D36" i="2" s="1"/>
  <c r="E36" i="2" s="1"/>
  <c r="C33" i="2"/>
  <c r="D33" i="2" s="1"/>
  <c r="E33" i="2" s="1"/>
  <c r="C27" i="2"/>
  <c r="D27" i="2" s="1"/>
  <c r="E27" i="2" s="1"/>
  <c r="E55" i="2"/>
  <c r="E54" i="2"/>
  <c r="E53" i="2"/>
  <c r="E50" i="2"/>
  <c r="E49" i="2"/>
  <c r="E45" i="2"/>
  <c r="E44" i="2"/>
  <c r="E40" i="2"/>
  <c r="E39" i="2"/>
  <c r="E35" i="2"/>
  <c r="E34" i="2"/>
  <c r="E30" i="2"/>
  <c r="E29" i="2"/>
  <c r="E25" i="2"/>
  <c r="E24" i="2"/>
  <c r="E20" i="2"/>
  <c r="E19" i="2"/>
  <c r="E15" i="2"/>
  <c r="E14" i="2"/>
  <c r="E10" i="2"/>
  <c r="E9" i="2"/>
  <c r="F102" i="1"/>
  <c r="G102" i="1" s="1"/>
  <c r="F101" i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F36" i="1"/>
  <c r="G36" i="1" s="1"/>
  <c r="F37" i="1"/>
  <c r="G37" i="1" s="1"/>
  <c r="F38" i="1"/>
  <c r="G38" i="1" s="1"/>
  <c r="F39" i="1"/>
  <c r="G39" i="1" s="1"/>
  <c r="F7" i="1"/>
  <c r="G101" i="1" l="1"/>
  <c r="C21" i="2"/>
  <c r="D21" i="2" s="1"/>
  <c r="E21" i="2" s="1"/>
  <c r="G60" i="1"/>
  <c r="C13" i="2"/>
  <c r="D13" i="2" s="1"/>
  <c r="E13" i="2" s="1"/>
  <c r="G91" i="1"/>
  <c r="C18" i="2"/>
  <c r="D18" i="2" s="1"/>
  <c r="E18" i="2" s="1"/>
  <c r="G28" i="1"/>
  <c r="C8" i="2"/>
  <c r="D8" i="2" s="1"/>
  <c r="E8" i="2" s="1"/>
  <c r="C6" i="2"/>
  <c r="D6" i="2" s="1"/>
  <c r="E6" i="2" s="1"/>
  <c r="C57" i="2"/>
  <c r="D57" i="2" s="1"/>
  <c r="E57" i="2" s="1"/>
  <c r="G50" i="1"/>
  <c r="C12" i="2"/>
  <c r="D12" i="2" s="1"/>
  <c r="E12" i="2" s="1"/>
  <c r="G80" i="1"/>
  <c r="C17" i="2"/>
  <c r="D17" i="2" s="1"/>
  <c r="E17" i="2" s="1"/>
  <c r="G40" i="1"/>
  <c r="C11" i="2"/>
  <c r="D11" i="2" s="1"/>
  <c r="E11" i="2" s="1"/>
  <c r="G70" i="1"/>
  <c r="C16" i="2"/>
  <c r="D16" i="2" s="1"/>
  <c r="E16" i="2" s="1"/>
  <c r="G17" i="1"/>
  <c r="C7" i="2"/>
  <c r="D7" i="2" s="1"/>
  <c r="E7" i="2" s="1"/>
  <c r="G35" i="1"/>
  <c r="G7" i="1"/>
</calcChain>
</file>

<file path=xl/sharedStrings.xml><?xml version="1.0" encoding="utf-8"?>
<sst xmlns="http://schemas.openxmlformats.org/spreadsheetml/2006/main" count="737" uniqueCount="40">
  <si>
    <t>Speed measurements template (timing gates)</t>
  </si>
  <si>
    <t>How to use:
1) Enter Participant, Activity, Trial #, Gate Distance (m), and Time Duration (s).
2) Speed (m/s) is computed automatically. Optional: add Notes.
3) The Summary sheet updates counts and mean speed by participant × activity.
Tip: Keep Activity labels consistent (walking, jogging, running, heel_drop, step_drop).</t>
  </si>
  <si>
    <t>participant</t>
  </si>
  <si>
    <t>activity</t>
  </si>
  <si>
    <t>trial_num</t>
  </si>
  <si>
    <t>gate_distance_m</t>
  </si>
  <si>
    <t>time_s</t>
  </si>
  <si>
    <t>speed_mps</t>
  </si>
  <si>
    <t>speed_kmh</t>
  </si>
  <si>
    <t>notes</t>
  </si>
  <si>
    <t>P1</t>
  </si>
  <si>
    <t>walking</t>
  </si>
  <si>
    <t>jogging</t>
  </si>
  <si>
    <t>running</t>
  </si>
  <si>
    <t>P2</t>
  </si>
  <si>
    <t>P3</t>
  </si>
  <si>
    <t>P4</t>
  </si>
  <si>
    <t>P5</t>
  </si>
  <si>
    <t>P6</t>
  </si>
  <si>
    <t>Speed summary (auto from Raw)</t>
  </si>
  <si>
    <t>This sheet summarizes counts and mean speed by participant and activity.
If you need SD/median, use a PivotTable in Excel or compute in Python from Raw.</t>
  </si>
  <si>
    <t>n_trials</t>
  </si>
  <si>
    <t>mean_speed_mps</t>
  </si>
  <si>
    <t>mean_speed_kmh</t>
  </si>
  <si>
    <t>heel_drop</t>
  </si>
  <si>
    <t>step_drop</t>
  </si>
  <si>
    <t>P7</t>
  </si>
  <si>
    <t>P8</t>
  </si>
  <si>
    <t>P9</t>
  </si>
  <si>
    <t>P10</t>
  </si>
  <si>
    <t>ALL</t>
  </si>
  <si>
    <t>All participants + activities</t>
  </si>
  <si>
    <t>shoes size: 44</t>
  </si>
  <si>
    <t>shoes size: 40</t>
  </si>
  <si>
    <t>shoes size: 41</t>
  </si>
  <si>
    <t>shoes size: 39</t>
  </si>
  <si>
    <t>shoes size: 43</t>
  </si>
  <si>
    <t>shoes size: 37</t>
  </si>
  <si>
    <t>shoes size: 43.5</t>
  </si>
  <si>
    <t>shoes size: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</si>
</sst>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rgb="FFF8CBAD"/>
      </patternFill>
    </fill>
    <fill>
      <patternFill patternType="solid">
        <fgColor indexed="65"/>
        <bgColor rgb="FFF8CBAD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6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/>
    <xf numFmtId="0" fontId="0" fillId="2" borderId="0" xfId="0" applyFill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67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4"/>
  <sheetViews>
    <sheetView tabSelected="1" workbookViewId="0">
      <pane ySplit="6" topLeftCell="A173" activePane="bottomLeft" state="frozen"/>
      <selection pane="bottomLeft" activeCell="H6" sqref="H6:H39"/>
    </sheetView>
  </sheetViews>
  <sheetFormatPr baseColWidth="10" defaultColWidth="8.83203125" defaultRowHeight="15" x14ac:dyDescent="0.2"/>
  <cols>
    <col min="1" max="2" width="12" customWidth="1"/>
    <col min="3" max="3" width="10" customWidth="1"/>
    <col min="4" max="4" width="16" customWidth="1"/>
    <col min="5" max="5" width="10" customWidth="1"/>
    <col min="6" max="7" width="12" customWidth="1"/>
    <col min="8" max="8" width="28" customWidth="1"/>
  </cols>
  <sheetData>
    <row r="1" spans="1:8" ht="19" x14ac:dyDescent="0.25">
      <c r="A1" s="28" t="s">
        <v>0</v>
      </c>
      <c r="B1" s="28"/>
      <c r="C1" s="28"/>
      <c r="D1" s="28"/>
      <c r="E1" s="28"/>
      <c r="F1" s="28"/>
      <c r="G1" s="28"/>
      <c r="H1" s="28"/>
    </row>
    <row r="2" spans="1:8" x14ac:dyDescent="0.2">
      <c r="A2" s="27" t="s">
        <v>1</v>
      </c>
      <c r="B2" s="27"/>
      <c r="C2" s="27"/>
      <c r="D2" s="27"/>
      <c r="E2" s="27"/>
      <c r="F2" s="27"/>
      <c r="G2" s="27"/>
      <c r="H2" s="27"/>
    </row>
    <row r="3" spans="1:8" x14ac:dyDescent="0.2">
      <c r="A3" s="27"/>
      <c r="B3" s="27"/>
      <c r="C3" s="27"/>
      <c r="D3" s="27"/>
      <c r="E3" s="27"/>
      <c r="F3" s="27"/>
      <c r="G3" s="27"/>
      <c r="H3" s="27"/>
    </row>
    <row r="4" spans="1:8" x14ac:dyDescent="0.2">
      <c r="A4" s="27"/>
      <c r="B4" s="27"/>
      <c r="C4" s="27"/>
      <c r="D4" s="27"/>
      <c r="E4" s="27"/>
      <c r="F4" s="27"/>
      <c r="G4" s="27"/>
      <c r="H4" s="27"/>
    </row>
    <row r="5" spans="1:8" x14ac:dyDescent="0.2">
      <c r="D5" s="12"/>
      <c r="E5" s="12"/>
      <c r="F5" s="12"/>
    </row>
    <row r="6" spans="1:8" ht="16" x14ac:dyDescent="0.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1:8" ht="16" x14ac:dyDescent="0.2">
      <c r="A7" s="2" t="s">
        <v>10</v>
      </c>
      <c r="B7" s="2" t="s">
        <v>11</v>
      </c>
      <c r="C7" s="2">
        <v>1</v>
      </c>
      <c r="D7" s="3">
        <v>3.73</v>
      </c>
      <c r="E7" s="12">
        <v>2.52</v>
      </c>
      <c r="F7" s="4">
        <f>D7/E7</f>
        <v>1.4801587301587302</v>
      </c>
      <c r="G7" s="5">
        <f t="shared" ref="G7:G13" si="0">IF(F7="","",F7*3.6)</f>
        <v>5.3285714285714292</v>
      </c>
      <c r="H7" s="15" t="s">
        <v>32</v>
      </c>
    </row>
    <row r="8" spans="1:8" ht="16" x14ac:dyDescent="0.2">
      <c r="A8" s="2" t="s">
        <v>10</v>
      </c>
      <c r="B8" s="2" t="s">
        <v>11</v>
      </c>
      <c r="C8" s="2">
        <v>2</v>
      </c>
      <c r="D8" s="3">
        <v>3.73</v>
      </c>
      <c r="E8" s="12">
        <v>2.15</v>
      </c>
      <c r="F8" s="4">
        <f t="shared" ref="F8:F101" si="1">D8/E8</f>
        <v>1.7348837209302326</v>
      </c>
      <c r="G8" s="5">
        <f t="shared" si="0"/>
        <v>6.2455813953488377</v>
      </c>
      <c r="H8" s="15"/>
    </row>
    <row r="9" spans="1:8" ht="16" x14ac:dyDescent="0.2">
      <c r="A9" s="2" t="s">
        <v>10</v>
      </c>
      <c r="B9" s="2" t="s">
        <v>11</v>
      </c>
      <c r="C9" s="2">
        <v>3</v>
      </c>
      <c r="D9" s="3">
        <v>3.73</v>
      </c>
      <c r="E9" s="12">
        <v>2.2599999999999998</v>
      </c>
      <c r="F9" s="4">
        <f t="shared" si="1"/>
        <v>1.6504424778761064</v>
      </c>
      <c r="G9" s="5">
        <f t="shared" si="0"/>
        <v>5.9415929203539832</v>
      </c>
      <c r="H9" s="15"/>
    </row>
    <row r="10" spans="1:8" ht="16" x14ac:dyDescent="0.2">
      <c r="A10" s="2" t="s">
        <v>10</v>
      </c>
      <c r="B10" s="2" t="s">
        <v>11</v>
      </c>
      <c r="C10" s="2">
        <v>4</v>
      </c>
      <c r="D10" s="3">
        <v>3.73</v>
      </c>
      <c r="E10" s="12">
        <v>2</v>
      </c>
      <c r="F10" s="4">
        <f t="shared" si="1"/>
        <v>1.865</v>
      </c>
      <c r="G10" s="5">
        <f t="shared" si="0"/>
        <v>6.7140000000000004</v>
      </c>
      <c r="H10" s="15"/>
    </row>
    <row r="11" spans="1:8" ht="16" x14ac:dyDescent="0.2">
      <c r="A11" s="2" t="s">
        <v>10</v>
      </c>
      <c r="B11" s="2" t="s">
        <v>11</v>
      </c>
      <c r="C11" s="2">
        <v>5</v>
      </c>
      <c r="D11" s="3">
        <v>3.73</v>
      </c>
      <c r="E11" s="12">
        <v>2.12</v>
      </c>
      <c r="F11" s="4">
        <f t="shared" si="1"/>
        <v>1.7594339622641508</v>
      </c>
      <c r="G11" s="5">
        <f t="shared" si="0"/>
        <v>6.3339622641509434</v>
      </c>
      <c r="H11" s="15"/>
    </row>
    <row r="12" spans="1:8" ht="16" x14ac:dyDescent="0.2">
      <c r="A12" s="2" t="s">
        <v>10</v>
      </c>
      <c r="B12" s="2" t="s">
        <v>11</v>
      </c>
      <c r="C12" s="2">
        <v>6</v>
      </c>
      <c r="D12" s="3">
        <v>3.73</v>
      </c>
      <c r="E12" s="12">
        <v>2.1800000000000002</v>
      </c>
      <c r="F12" s="4">
        <f t="shared" si="1"/>
        <v>1.7110091743119265</v>
      </c>
      <c r="G12" s="5">
        <f t="shared" si="0"/>
        <v>6.1596330275229354</v>
      </c>
      <c r="H12" s="15"/>
    </row>
    <row r="13" spans="1:8" ht="16" x14ac:dyDescent="0.2">
      <c r="A13" s="2" t="s">
        <v>10</v>
      </c>
      <c r="B13" s="2" t="s">
        <v>11</v>
      </c>
      <c r="C13" s="2">
        <v>7</v>
      </c>
      <c r="D13" s="3">
        <v>3.73</v>
      </c>
      <c r="E13" s="12">
        <v>2</v>
      </c>
      <c r="F13" s="4">
        <f t="shared" si="1"/>
        <v>1.865</v>
      </c>
      <c r="G13" s="5">
        <f t="shared" si="0"/>
        <v>6.7140000000000004</v>
      </c>
      <c r="H13" s="15"/>
    </row>
    <row r="14" spans="1:8" ht="16" x14ac:dyDescent="0.2">
      <c r="A14" s="2" t="s">
        <v>10</v>
      </c>
      <c r="B14" s="2" t="s">
        <v>11</v>
      </c>
      <c r="C14" s="2">
        <v>8</v>
      </c>
      <c r="D14" s="3">
        <v>3.73</v>
      </c>
      <c r="E14" s="12">
        <v>2.2000000000000002</v>
      </c>
      <c r="F14" s="4">
        <f t="shared" si="1"/>
        <v>1.6954545454545453</v>
      </c>
      <c r="G14" s="5">
        <f>F14*3.6</f>
        <v>6.1036363636363635</v>
      </c>
      <c r="H14" s="15"/>
    </row>
    <row r="15" spans="1:8" ht="16" x14ac:dyDescent="0.2">
      <c r="A15" s="2" t="s">
        <v>10</v>
      </c>
      <c r="B15" s="2" t="s">
        <v>11</v>
      </c>
      <c r="C15" s="2">
        <v>9</v>
      </c>
      <c r="D15" s="3">
        <v>3.73</v>
      </c>
      <c r="E15" s="12">
        <v>2.33</v>
      </c>
      <c r="F15" s="4">
        <f t="shared" si="1"/>
        <v>1.6008583690987124</v>
      </c>
      <c r="G15" s="5">
        <f t="shared" ref="G15:G101" si="2">F15*3.6</f>
        <v>5.7630901287553646</v>
      </c>
      <c r="H15" s="15"/>
    </row>
    <row r="16" spans="1:8" ht="16" x14ac:dyDescent="0.2">
      <c r="A16" s="2" t="s">
        <v>10</v>
      </c>
      <c r="B16" s="2" t="s">
        <v>11</v>
      </c>
      <c r="C16" s="2">
        <v>10</v>
      </c>
      <c r="D16" s="3">
        <v>3.73</v>
      </c>
      <c r="E16" s="12">
        <v>2.08</v>
      </c>
      <c r="F16" s="4">
        <f t="shared" si="1"/>
        <v>1.7932692307692306</v>
      </c>
      <c r="G16" s="5">
        <f t="shared" si="2"/>
        <v>6.4557692307692305</v>
      </c>
      <c r="H16" s="15"/>
    </row>
    <row r="17" spans="1:8" ht="16" x14ac:dyDescent="0.2">
      <c r="A17" s="2" t="s">
        <v>10</v>
      </c>
      <c r="B17" s="2" t="s">
        <v>12</v>
      </c>
      <c r="C17" s="2">
        <v>1</v>
      </c>
      <c r="D17" s="3">
        <v>3.73</v>
      </c>
      <c r="E17" s="12">
        <v>1.1299999999999999</v>
      </c>
      <c r="F17" s="4">
        <f t="shared" si="1"/>
        <v>3.3008849557522129</v>
      </c>
      <c r="G17" s="5">
        <f t="shared" si="2"/>
        <v>11.883185840707966</v>
      </c>
      <c r="H17" s="15"/>
    </row>
    <row r="18" spans="1:8" ht="16" x14ac:dyDescent="0.2">
      <c r="A18" s="2" t="s">
        <v>10</v>
      </c>
      <c r="B18" s="2" t="s">
        <v>12</v>
      </c>
      <c r="C18" s="2">
        <v>2</v>
      </c>
      <c r="D18" s="3">
        <v>3.73</v>
      </c>
      <c r="E18" s="12">
        <v>1.07</v>
      </c>
      <c r="F18" s="4">
        <f t="shared" si="1"/>
        <v>3.4859813084112146</v>
      </c>
      <c r="G18" s="5">
        <f t="shared" si="2"/>
        <v>12.549532710280372</v>
      </c>
      <c r="H18" s="15"/>
    </row>
    <row r="19" spans="1:8" ht="16" x14ac:dyDescent="0.2">
      <c r="A19" s="2" t="s">
        <v>10</v>
      </c>
      <c r="B19" s="2" t="s">
        <v>12</v>
      </c>
      <c r="C19" s="2">
        <v>3</v>
      </c>
      <c r="D19" s="3">
        <v>3.73</v>
      </c>
      <c r="E19" s="12">
        <v>0.99</v>
      </c>
      <c r="F19" s="4">
        <f t="shared" si="1"/>
        <v>3.7676767676767677</v>
      </c>
      <c r="G19" s="5">
        <f t="shared" si="2"/>
        <v>13.563636363636364</v>
      </c>
      <c r="H19" s="15"/>
    </row>
    <row r="20" spans="1:8" ht="16" x14ac:dyDescent="0.2">
      <c r="A20" s="2" t="s">
        <v>10</v>
      </c>
      <c r="B20" s="2" t="s">
        <v>12</v>
      </c>
      <c r="C20" s="2">
        <v>4</v>
      </c>
      <c r="D20" s="3">
        <v>3.73</v>
      </c>
      <c r="E20" s="12">
        <v>1.07</v>
      </c>
      <c r="F20" s="4">
        <f t="shared" si="1"/>
        <v>3.4859813084112146</v>
      </c>
      <c r="G20" s="5">
        <f t="shared" si="2"/>
        <v>12.549532710280372</v>
      </c>
      <c r="H20" s="15"/>
    </row>
    <row r="21" spans="1:8" ht="16" x14ac:dyDescent="0.2">
      <c r="A21" s="2" t="s">
        <v>10</v>
      </c>
      <c r="B21" s="2" t="s">
        <v>12</v>
      </c>
      <c r="C21" s="2">
        <v>5</v>
      </c>
      <c r="D21" s="3">
        <v>3.73</v>
      </c>
      <c r="E21" s="12">
        <v>1.22</v>
      </c>
      <c r="F21" s="4">
        <f t="shared" si="1"/>
        <v>3.057377049180328</v>
      </c>
      <c r="G21" s="5">
        <f t="shared" si="2"/>
        <v>11.006557377049182</v>
      </c>
      <c r="H21" s="15"/>
    </row>
    <row r="22" spans="1:8" ht="16" x14ac:dyDescent="0.2">
      <c r="A22" s="2" t="s">
        <v>10</v>
      </c>
      <c r="B22" s="2" t="s">
        <v>12</v>
      </c>
      <c r="C22" s="2">
        <v>6</v>
      </c>
      <c r="D22" s="3">
        <v>3.73</v>
      </c>
      <c r="E22" s="12">
        <v>1.03</v>
      </c>
      <c r="F22" s="4">
        <f t="shared" si="1"/>
        <v>3.6213592233009706</v>
      </c>
      <c r="G22" s="5">
        <f t="shared" si="2"/>
        <v>13.036893203883494</v>
      </c>
      <c r="H22" s="15"/>
    </row>
    <row r="23" spans="1:8" ht="16" x14ac:dyDescent="0.2">
      <c r="A23" s="2" t="s">
        <v>10</v>
      </c>
      <c r="B23" s="2" t="s">
        <v>12</v>
      </c>
      <c r="C23" s="2">
        <v>7</v>
      </c>
      <c r="D23" s="3">
        <v>3.73</v>
      </c>
      <c r="E23" s="12">
        <v>1.06</v>
      </c>
      <c r="F23" s="4">
        <f t="shared" si="1"/>
        <v>3.5188679245283017</v>
      </c>
      <c r="G23" s="5">
        <f t="shared" si="2"/>
        <v>12.667924528301887</v>
      </c>
      <c r="H23" s="15"/>
    </row>
    <row r="24" spans="1:8" ht="16" x14ac:dyDescent="0.2">
      <c r="A24" s="2" t="s">
        <v>10</v>
      </c>
      <c r="B24" s="2" t="s">
        <v>12</v>
      </c>
      <c r="C24" s="2">
        <v>8</v>
      </c>
      <c r="D24" s="3">
        <v>3.73</v>
      </c>
      <c r="E24" s="12">
        <v>1.3</v>
      </c>
      <c r="F24" s="4">
        <f t="shared" si="1"/>
        <v>2.8692307692307693</v>
      </c>
      <c r="G24" s="5">
        <f t="shared" si="2"/>
        <v>10.329230769230769</v>
      </c>
      <c r="H24" s="15"/>
    </row>
    <row r="25" spans="1:8" ht="16" x14ac:dyDescent="0.2">
      <c r="A25" s="2" t="s">
        <v>10</v>
      </c>
      <c r="B25" s="2" t="s">
        <v>12</v>
      </c>
      <c r="C25" s="2">
        <v>9</v>
      </c>
      <c r="D25" s="3">
        <v>3.73</v>
      </c>
      <c r="E25" s="12">
        <v>1.21</v>
      </c>
      <c r="F25" s="4">
        <f t="shared" si="1"/>
        <v>3.0826446280991737</v>
      </c>
      <c r="G25" s="5">
        <f t="shared" si="2"/>
        <v>11.097520661157025</v>
      </c>
      <c r="H25" s="15"/>
    </row>
    <row r="26" spans="1:8" ht="16" x14ac:dyDescent="0.2">
      <c r="A26" s="2" t="s">
        <v>10</v>
      </c>
      <c r="B26" s="2" t="s">
        <v>12</v>
      </c>
      <c r="C26" s="2">
        <v>10</v>
      </c>
      <c r="D26" s="3">
        <v>3.73</v>
      </c>
      <c r="E26" s="12">
        <v>1.2</v>
      </c>
      <c r="F26" s="4">
        <f t="shared" si="1"/>
        <v>3.1083333333333334</v>
      </c>
      <c r="G26" s="5">
        <f t="shared" si="2"/>
        <v>11.190000000000001</v>
      </c>
      <c r="H26" s="15"/>
    </row>
    <row r="27" spans="1:8" ht="16" x14ac:dyDescent="0.2">
      <c r="A27" s="2" t="s">
        <v>10</v>
      </c>
      <c r="B27" s="2" t="s">
        <v>12</v>
      </c>
      <c r="C27" s="2">
        <v>11</v>
      </c>
      <c r="D27" s="3">
        <v>3.73</v>
      </c>
      <c r="E27" s="12">
        <v>1.1000000000000001</v>
      </c>
      <c r="F27" s="4">
        <f t="shared" si="1"/>
        <v>3.3909090909090907</v>
      </c>
      <c r="G27" s="5">
        <f t="shared" si="2"/>
        <v>12.207272727272727</v>
      </c>
      <c r="H27" s="15"/>
    </row>
    <row r="28" spans="1:8" ht="16" x14ac:dyDescent="0.2">
      <c r="A28" s="2" t="s">
        <v>10</v>
      </c>
      <c r="B28" s="2" t="s">
        <v>13</v>
      </c>
      <c r="C28" s="2">
        <v>1</v>
      </c>
      <c r="D28" s="3">
        <v>3.73</v>
      </c>
      <c r="E28" s="12">
        <v>1</v>
      </c>
      <c r="F28" s="4">
        <f t="shared" si="1"/>
        <v>3.73</v>
      </c>
      <c r="G28" s="5">
        <f t="shared" si="2"/>
        <v>13.428000000000001</v>
      </c>
      <c r="H28" s="15"/>
    </row>
    <row r="29" spans="1:8" ht="16" x14ac:dyDescent="0.2">
      <c r="A29" s="2" t="s">
        <v>10</v>
      </c>
      <c r="B29" s="2" t="s">
        <v>13</v>
      </c>
      <c r="C29" s="2">
        <v>2</v>
      </c>
      <c r="D29" s="3">
        <v>3.73</v>
      </c>
      <c r="E29" s="12">
        <v>0.92</v>
      </c>
      <c r="F29" s="4">
        <f t="shared" si="1"/>
        <v>4.0543478260869561</v>
      </c>
      <c r="G29" s="5">
        <f t="shared" si="2"/>
        <v>14.595652173913042</v>
      </c>
      <c r="H29" s="15"/>
    </row>
    <row r="30" spans="1:8" ht="16" x14ac:dyDescent="0.2">
      <c r="A30" s="2" t="s">
        <v>10</v>
      </c>
      <c r="B30" s="2" t="s">
        <v>13</v>
      </c>
      <c r="C30" s="2">
        <v>3</v>
      </c>
      <c r="D30" s="3">
        <v>3.73</v>
      </c>
      <c r="E30" s="12">
        <v>0.92</v>
      </c>
      <c r="F30" s="4">
        <f t="shared" si="1"/>
        <v>4.0543478260869561</v>
      </c>
      <c r="G30" s="5">
        <f t="shared" si="2"/>
        <v>14.595652173913042</v>
      </c>
      <c r="H30" s="16"/>
    </row>
    <row r="31" spans="1:8" ht="16" x14ac:dyDescent="0.2">
      <c r="A31" s="2" t="s">
        <v>10</v>
      </c>
      <c r="B31" s="2" t="s">
        <v>13</v>
      </c>
      <c r="C31" s="2">
        <v>4</v>
      </c>
      <c r="D31" s="3">
        <v>3.73</v>
      </c>
      <c r="E31" s="12">
        <v>0.69</v>
      </c>
      <c r="F31" s="4">
        <f t="shared" si="1"/>
        <v>5.4057971014492754</v>
      </c>
      <c r="G31" s="5">
        <f t="shared" si="2"/>
        <v>19.460869565217394</v>
      </c>
      <c r="H31" s="16"/>
    </row>
    <row r="32" spans="1:8" ht="16" x14ac:dyDescent="0.2">
      <c r="A32" s="2" t="s">
        <v>10</v>
      </c>
      <c r="B32" s="2" t="s">
        <v>13</v>
      </c>
      <c r="C32" s="2">
        <v>5</v>
      </c>
      <c r="D32" s="3">
        <v>3.73</v>
      </c>
      <c r="E32" s="12">
        <v>0.87</v>
      </c>
      <c r="F32" s="4">
        <f t="shared" si="1"/>
        <v>4.2873563218390807</v>
      </c>
      <c r="G32" s="5">
        <f t="shared" si="2"/>
        <v>15.434482758620691</v>
      </c>
      <c r="H32" s="16"/>
    </row>
    <row r="33" spans="1:8" ht="16" x14ac:dyDescent="0.2">
      <c r="A33" s="2" t="s">
        <v>10</v>
      </c>
      <c r="B33" s="2" t="s">
        <v>13</v>
      </c>
      <c r="C33" s="2">
        <v>6</v>
      </c>
      <c r="D33" s="3">
        <v>3.73</v>
      </c>
      <c r="E33" s="12">
        <v>0.89</v>
      </c>
      <c r="F33" s="4">
        <f t="shared" si="1"/>
        <v>4.191011235955056</v>
      </c>
      <c r="G33" s="5">
        <f t="shared" si="2"/>
        <v>15.087640449438203</v>
      </c>
      <c r="H33" s="16"/>
    </row>
    <row r="34" spans="1:8" ht="16" x14ac:dyDescent="0.2">
      <c r="A34" s="2" t="s">
        <v>10</v>
      </c>
      <c r="B34" s="2" t="s">
        <v>13</v>
      </c>
      <c r="C34" s="2">
        <v>7</v>
      </c>
      <c r="D34" s="3">
        <v>3.73</v>
      </c>
      <c r="E34" s="12">
        <v>0.93</v>
      </c>
      <c r="F34" s="4">
        <f t="shared" si="1"/>
        <v>4.010752688172043</v>
      </c>
      <c r="G34" s="5">
        <f t="shared" si="2"/>
        <v>14.438709677419356</v>
      </c>
      <c r="H34" s="16"/>
    </row>
    <row r="35" spans="1:8" ht="16" x14ac:dyDescent="0.2">
      <c r="A35" s="2" t="s">
        <v>10</v>
      </c>
      <c r="B35" s="2" t="s">
        <v>13</v>
      </c>
      <c r="C35" s="2">
        <v>8</v>
      </c>
      <c r="D35" s="3">
        <v>3.73</v>
      </c>
      <c r="E35" s="12">
        <v>0.86</v>
      </c>
      <c r="F35" s="4">
        <f t="shared" si="1"/>
        <v>4.3372093023255811</v>
      </c>
      <c r="G35" s="5">
        <f t="shared" si="2"/>
        <v>15.613953488372092</v>
      </c>
      <c r="H35" s="16"/>
    </row>
    <row r="36" spans="1:8" ht="16" x14ac:dyDescent="0.2">
      <c r="A36" s="2" t="s">
        <v>10</v>
      </c>
      <c r="B36" s="2" t="s">
        <v>13</v>
      </c>
      <c r="C36" s="2">
        <v>9</v>
      </c>
      <c r="D36" s="3">
        <v>3.73</v>
      </c>
      <c r="E36" s="12">
        <v>0.89</v>
      </c>
      <c r="F36" s="4">
        <f t="shared" si="1"/>
        <v>4.191011235955056</v>
      </c>
      <c r="G36" s="5">
        <f t="shared" si="2"/>
        <v>15.087640449438203</v>
      </c>
      <c r="H36" s="16"/>
    </row>
    <row r="37" spans="1:8" ht="16" x14ac:dyDescent="0.2">
      <c r="A37" s="2" t="s">
        <v>10</v>
      </c>
      <c r="B37" s="2" t="s">
        <v>13</v>
      </c>
      <c r="C37" s="2">
        <v>10</v>
      </c>
      <c r="D37" s="3">
        <v>3.73</v>
      </c>
      <c r="E37" s="12">
        <v>0.91</v>
      </c>
      <c r="F37" s="4">
        <f t="shared" si="1"/>
        <v>4.0989010989010985</v>
      </c>
      <c r="G37" s="5">
        <f t="shared" si="2"/>
        <v>14.756043956043955</v>
      </c>
      <c r="H37" s="16"/>
    </row>
    <row r="38" spans="1:8" ht="16" x14ac:dyDescent="0.2">
      <c r="A38" s="10" t="s">
        <v>10</v>
      </c>
      <c r="B38" s="2" t="s">
        <v>13</v>
      </c>
      <c r="C38" s="10">
        <v>11</v>
      </c>
      <c r="D38" s="3">
        <v>3.73</v>
      </c>
      <c r="E38" s="12">
        <v>0.9</v>
      </c>
      <c r="F38" s="4">
        <f t="shared" si="1"/>
        <v>4.1444444444444439</v>
      </c>
      <c r="G38" s="5">
        <f t="shared" si="2"/>
        <v>14.919999999999998</v>
      </c>
      <c r="H38" s="16"/>
    </row>
    <row r="39" spans="1:8" ht="16" x14ac:dyDescent="0.2">
      <c r="A39" s="10" t="s">
        <v>10</v>
      </c>
      <c r="B39" s="2" t="s">
        <v>13</v>
      </c>
      <c r="C39" s="10">
        <v>12</v>
      </c>
      <c r="D39" s="3">
        <v>3.73</v>
      </c>
      <c r="E39" s="12">
        <v>0.84</v>
      </c>
      <c r="F39" s="4">
        <f t="shared" si="1"/>
        <v>4.4404761904761907</v>
      </c>
      <c r="G39" s="5">
        <f t="shared" si="2"/>
        <v>15.985714285714288</v>
      </c>
      <c r="H39" s="16"/>
    </row>
    <row r="40" spans="1:8" ht="16" x14ac:dyDescent="0.2">
      <c r="A40" s="10" t="s">
        <v>14</v>
      </c>
      <c r="B40" s="2" t="s">
        <v>11</v>
      </c>
      <c r="C40" s="2">
        <v>1</v>
      </c>
      <c r="D40" s="11">
        <v>3.95</v>
      </c>
      <c r="E40" s="11">
        <v>2.38</v>
      </c>
      <c r="F40" s="11">
        <f t="shared" si="1"/>
        <v>1.6596638655462186</v>
      </c>
      <c r="G40" s="14">
        <f t="shared" si="2"/>
        <v>5.9747899159663866</v>
      </c>
      <c r="H40" s="16" t="s">
        <v>33</v>
      </c>
    </row>
    <row r="41" spans="1:8" ht="16" x14ac:dyDescent="0.2">
      <c r="A41" s="10" t="s">
        <v>14</v>
      </c>
      <c r="B41" s="2" t="s">
        <v>11</v>
      </c>
      <c r="C41" s="2">
        <v>2</v>
      </c>
      <c r="D41" s="11">
        <v>3.95</v>
      </c>
      <c r="E41" s="11">
        <v>2.5499999999999998</v>
      </c>
      <c r="F41" s="11">
        <f t="shared" si="1"/>
        <v>1.5490196078431375</v>
      </c>
      <c r="G41" s="14">
        <f t="shared" si="2"/>
        <v>5.5764705882352956</v>
      </c>
      <c r="H41" s="16"/>
    </row>
    <row r="42" spans="1:8" ht="16" x14ac:dyDescent="0.2">
      <c r="A42" s="10" t="s">
        <v>14</v>
      </c>
      <c r="B42" s="2" t="s">
        <v>11</v>
      </c>
      <c r="C42" s="2">
        <v>3</v>
      </c>
      <c r="D42" s="11">
        <v>3.95</v>
      </c>
      <c r="E42" s="11">
        <v>2.54</v>
      </c>
      <c r="F42" s="11">
        <f t="shared" si="1"/>
        <v>1.5551181102362206</v>
      </c>
      <c r="G42" s="14">
        <f t="shared" si="2"/>
        <v>5.5984251968503944</v>
      </c>
      <c r="H42" s="16"/>
    </row>
    <row r="43" spans="1:8" ht="16" x14ac:dyDescent="0.2">
      <c r="A43" s="10" t="s">
        <v>14</v>
      </c>
      <c r="B43" s="2" t="s">
        <v>11</v>
      </c>
      <c r="C43" s="2">
        <v>4</v>
      </c>
      <c r="D43" s="11">
        <v>3.95</v>
      </c>
      <c r="E43" s="11">
        <v>2.63</v>
      </c>
      <c r="F43" s="11">
        <f t="shared" si="1"/>
        <v>1.5019011406844107</v>
      </c>
      <c r="G43" s="14">
        <f t="shared" si="2"/>
        <v>5.406844106463879</v>
      </c>
      <c r="H43" s="16"/>
    </row>
    <row r="44" spans="1:8" ht="16" x14ac:dyDescent="0.2">
      <c r="A44" s="10" t="s">
        <v>14</v>
      </c>
      <c r="B44" s="2" t="s">
        <v>11</v>
      </c>
      <c r="C44" s="2">
        <v>5</v>
      </c>
      <c r="D44" s="11">
        <v>3.95</v>
      </c>
      <c r="E44" s="11">
        <v>2.63</v>
      </c>
      <c r="F44" s="11">
        <f t="shared" si="1"/>
        <v>1.5019011406844107</v>
      </c>
      <c r="G44" s="14">
        <f t="shared" si="2"/>
        <v>5.406844106463879</v>
      </c>
      <c r="H44" s="16"/>
    </row>
    <row r="45" spans="1:8" ht="16" x14ac:dyDescent="0.2">
      <c r="A45" s="10" t="s">
        <v>14</v>
      </c>
      <c r="B45" s="2" t="s">
        <v>11</v>
      </c>
      <c r="C45" s="2">
        <v>6</v>
      </c>
      <c r="D45" s="11">
        <v>3.95</v>
      </c>
      <c r="E45" s="11">
        <v>2.48</v>
      </c>
      <c r="F45" s="11">
        <f t="shared" si="1"/>
        <v>1.592741935483871</v>
      </c>
      <c r="G45" s="14">
        <f t="shared" si="2"/>
        <v>5.7338709677419359</v>
      </c>
      <c r="H45" s="16"/>
    </row>
    <row r="46" spans="1:8" ht="16" x14ac:dyDescent="0.2">
      <c r="A46" s="10" t="s">
        <v>14</v>
      </c>
      <c r="B46" s="2" t="s">
        <v>11</v>
      </c>
      <c r="C46" s="2">
        <v>7</v>
      </c>
      <c r="D46" s="11">
        <v>3.95</v>
      </c>
      <c r="E46" s="11">
        <v>2.48</v>
      </c>
      <c r="F46" s="11">
        <f t="shared" si="1"/>
        <v>1.592741935483871</v>
      </c>
      <c r="G46" s="14">
        <f t="shared" si="2"/>
        <v>5.7338709677419359</v>
      </c>
      <c r="H46" s="16"/>
    </row>
    <row r="47" spans="1:8" ht="16" x14ac:dyDescent="0.2">
      <c r="A47" s="10" t="s">
        <v>14</v>
      </c>
      <c r="B47" s="2" t="s">
        <v>11</v>
      </c>
      <c r="C47" s="2">
        <v>8</v>
      </c>
      <c r="D47" s="11">
        <v>3.95</v>
      </c>
      <c r="E47" s="11">
        <v>2.46</v>
      </c>
      <c r="F47" s="11">
        <f t="shared" si="1"/>
        <v>1.6056910569105691</v>
      </c>
      <c r="G47" s="14">
        <f t="shared" si="2"/>
        <v>5.7804878048780486</v>
      </c>
      <c r="H47" s="16"/>
    </row>
    <row r="48" spans="1:8" ht="16" x14ac:dyDescent="0.2">
      <c r="A48" s="10" t="s">
        <v>14</v>
      </c>
      <c r="B48" s="2" t="s">
        <v>11</v>
      </c>
      <c r="C48" s="2">
        <v>9</v>
      </c>
      <c r="D48" s="11">
        <v>3.95</v>
      </c>
      <c r="E48" s="11">
        <v>2.4300000000000002</v>
      </c>
      <c r="F48" s="11">
        <f t="shared" si="1"/>
        <v>1.6255144032921811</v>
      </c>
      <c r="G48" s="14">
        <f t="shared" si="2"/>
        <v>5.8518518518518521</v>
      </c>
      <c r="H48" s="16"/>
    </row>
    <row r="49" spans="1:8" ht="16" x14ac:dyDescent="0.2">
      <c r="A49" s="10" t="s">
        <v>14</v>
      </c>
      <c r="B49" s="2" t="s">
        <v>11</v>
      </c>
      <c r="C49" s="2">
        <v>10</v>
      </c>
      <c r="D49" s="11">
        <v>3.95</v>
      </c>
      <c r="E49" s="11">
        <v>2.5299999999999998</v>
      </c>
      <c r="F49" s="11">
        <f t="shared" si="1"/>
        <v>1.5612648221343874</v>
      </c>
      <c r="G49" s="14">
        <f t="shared" si="2"/>
        <v>5.6205533596837949</v>
      </c>
      <c r="H49" s="16"/>
    </row>
    <row r="50" spans="1:8" ht="16" x14ac:dyDescent="0.2">
      <c r="A50" s="10" t="s">
        <v>14</v>
      </c>
      <c r="B50" s="2" t="s">
        <v>12</v>
      </c>
      <c r="C50" s="2">
        <v>1</v>
      </c>
      <c r="D50" s="11">
        <v>3.95</v>
      </c>
      <c r="E50" s="11">
        <v>2.34</v>
      </c>
      <c r="F50" s="11">
        <f t="shared" si="1"/>
        <v>1.6880341880341883</v>
      </c>
      <c r="G50" s="14">
        <f t="shared" si="2"/>
        <v>6.0769230769230775</v>
      </c>
      <c r="H50" s="16"/>
    </row>
    <row r="51" spans="1:8" ht="16" x14ac:dyDescent="0.2">
      <c r="A51" s="10" t="s">
        <v>14</v>
      </c>
      <c r="B51" s="2" t="s">
        <v>12</v>
      </c>
      <c r="C51" s="2">
        <v>2</v>
      </c>
      <c r="D51" s="11">
        <v>3.95</v>
      </c>
      <c r="E51" s="11">
        <v>1.77</v>
      </c>
      <c r="F51" s="11">
        <f t="shared" si="1"/>
        <v>2.231638418079096</v>
      </c>
      <c r="G51" s="14">
        <f t="shared" si="2"/>
        <v>8.0338983050847457</v>
      </c>
      <c r="H51" s="16"/>
    </row>
    <row r="52" spans="1:8" ht="16" x14ac:dyDescent="0.2">
      <c r="A52" s="10" t="s">
        <v>14</v>
      </c>
      <c r="B52" s="2" t="s">
        <v>12</v>
      </c>
      <c r="C52" s="2">
        <v>3</v>
      </c>
      <c r="D52" s="11">
        <v>3.95</v>
      </c>
      <c r="E52" s="11">
        <v>1.62</v>
      </c>
      <c r="F52" s="11">
        <f t="shared" si="1"/>
        <v>2.4382716049382718</v>
      </c>
      <c r="G52" s="14">
        <f t="shared" si="2"/>
        <v>8.7777777777777786</v>
      </c>
      <c r="H52" s="16"/>
    </row>
    <row r="53" spans="1:8" ht="16" x14ac:dyDescent="0.2">
      <c r="A53" s="10" t="s">
        <v>14</v>
      </c>
      <c r="B53" s="2" t="s">
        <v>12</v>
      </c>
      <c r="C53" s="2">
        <v>4</v>
      </c>
      <c r="D53" s="11">
        <v>3.95</v>
      </c>
      <c r="E53" s="11">
        <v>1.54</v>
      </c>
      <c r="F53" s="11">
        <f t="shared" si="1"/>
        <v>2.5649350649350651</v>
      </c>
      <c r="G53" s="14">
        <f t="shared" si="2"/>
        <v>9.2337662337662341</v>
      </c>
      <c r="H53" s="16"/>
    </row>
    <row r="54" spans="1:8" ht="16" x14ac:dyDescent="0.2">
      <c r="A54" s="10" t="s">
        <v>14</v>
      </c>
      <c r="B54" s="2" t="s">
        <v>12</v>
      </c>
      <c r="C54" s="2">
        <v>5</v>
      </c>
      <c r="D54" s="11">
        <v>3.95</v>
      </c>
      <c r="E54" s="11">
        <v>1.52</v>
      </c>
      <c r="F54" s="11">
        <f t="shared" si="1"/>
        <v>2.5986842105263159</v>
      </c>
      <c r="G54" s="14">
        <f t="shared" si="2"/>
        <v>9.3552631578947381</v>
      </c>
      <c r="H54" s="16"/>
    </row>
    <row r="55" spans="1:8" ht="16" x14ac:dyDescent="0.2">
      <c r="A55" s="10" t="s">
        <v>14</v>
      </c>
      <c r="B55" s="2" t="s">
        <v>12</v>
      </c>
      <c r="C55" s="2">
        <v>6</v>
      </c>
      <c r="D55" s="11">
        <v>3.95</v>
      </c>
      <c r="E55" s="11">
        <v>1.56</v>
      </c>
      <c r="F55" s="11">
        <f t="shared" si="1"/>
        <v>2.5320512820512819</v>
      </c>
      <c r="G55" s="14">
        <f t="shared" si="2"/>
        <v>9.115384615384615</v>
      </c>
      <c r="H55" s="16"/>
    </row>
    <row r="56" spans="1:8" ht="16" x14ac:dyDescent="0.2">
      <c r="A56" s="10" t="s">
        <v>14</v>
      </c>
      <c r="B56" s="2" t="s">
        <v>12</v>
      </c>
      <c r="C56" s="2">
        <v>7</v>
      </c>
      <c r="D56" s="11">
        <v>3.95</v>
      </c>
      <c r="E56" s="11">
        <v>1.61</v>
      </c>
      <c r="F56" s="11">
        <f t="shared" si="1"/>
        <v>2.4534161490683228</v>
      </c>
      <c r="G56" s="14">
        <f t="shared" si="2"/>
        <v>8.8322981366459619</v>
      </c>
      <c r="H56" s="16"/>
    </row>
    <row r="57" spans="1:8" ht="16" x14ac:dyDescent="0.2">
      <c r="A57" s="10" t="s">
        <v>14</v>
      </c>
      <c r="B57" s="2" t="s">
        <v>12</v>
      </c>
      <c r="C57" s="2">
        <v>8</v>
      </c>
      <c r="D57" s="11">
        <v>3.95</v>
      </c>
      <c r="E57" s="11">
        <v>1.54</v>
      </c>
      <c r="F57" s="11">
        <f t="shared" si="1"/>
        <v>2.5649350649350651</v>
      </c>
      <c r="G57" s="14">
        <f t="shared" si="2"/>
        <v>9.2337662337662341</v>
      </c>
      <c r="H57" s="16"/>
    </row>
    <row r="58" spans="1:8" ht="16" x14ac:dyDescent="0.2">
      <c r="A58" s="10" t="s">
        <v>14</v>
      </c>
      <c r="B58" s="2" t="s">
        <v>12</v>
      </c>
      <c r="C58" s="2">
        <v>9</v>
      </c>
      <c r="D58" s="11">
        <v>3.95</v>
      </c>
      <c r="E58" s="11">
        <v>1.53</v>
      </c>
      <c r="F58" s="11">
        <f t="shared" si="1"/>
        <v>2.5816993464052289</v>
      </c>
      <c r="G58" s="14">
        <f t="shared" si="2"/>
        <v>9.2941176470588243</v>
      </c>
      <c r="H58" s="16"/>
    </row>
    <row r="59" spans="1:8" ht="16" x14ac:dyDescent="0.2">
      <c r="A59" s="10" t="s">
        <v>14</v>
      </c>
      <c r="B59" s="2" t="s">
        <v>12</v>
      </c>
      <c r="C59" s="2">
        <v>10</v>
      </c>
      <c r="D59" s="11">
        <v>3.95</v>
      </c>
      <c r="E59" s="11">
        <v>1.51</v>
      </c>
      <c r="F59" s="11">
        <f t="shared" si="1"/>
        <v>2.6158940397350996</v>
      </c>
      <c r="G59" s="14">
        <f t="shared" si="2"/>
        <v>9.4172185430463582</v>
      </c>
      <c r="H59" s="16"/>
    </row>
    <row r="60" spans="1:8" ht="16" x14ac:dyDescent="0.2">
      <c r="A60" s="10" t="s">
        <v>14</v>
      </c>
      <c r="B60" s="2" t="s">
        <v>13</v>
      </c>
      <c r="C60" s="2">
        <v>1</v>
      </c>
      <c r="D60" s="11">
        <v>3.95</v>
      </c>
      <c r="E60" s="11">
        <v>1.25</v>
      </c>
      <c r="F60" s="11">
        <f t="shared" si="1"/>
        <v>3.16</v>
      </c>
      <c r="G60" s="14">
        <f t="shared" si="2"/>
        <v>11.376000000000001</v>
      </c>
      <c r="H60" s="16"/>
    </row>
    <row r="61" spans="1:8" ht="16" x14ac:dyDescent="0.2">
      <c r="A61" s="10" t="s">
        <v>14</v>
      </c>
      <c r="B61" s="2" t="s">
        <v>13</v>
      </c>
      <c r="C61" s="2">
        <v>2</v>
      </c>
      <c r="D61" s="11">
        <v>3.95</v>
      </c>
      <c r="E61" s="11">
        <v>1.33</v>
      </c>
      <c r="F61" s="11">
        <f t="shared" si="1"/>
        <v>2.969924812030075</v>
      </c>
      <c r="G61" s="14">
        <f t="shared" si="2"/>
        <v>10.69172932330827</v>
      </c>
      <c r="H61" s="16"/>
    </row>
    <row r="62" spans="1:8" ht="16" x14ac:dyDescent="0.2">
      <c r="A62" s="10" t="s">
        <v>14</v>
      </c>
      <c r="B62" s="2" t="s">
        <v>13</v>
      </c>
      <c r="C62" s="2">
        <v>3</v>
      </c>
      <c r="D62" s="11">
        <v>3.95</v>
      </c>
      <c r="E62" s="11">
        <v>1.25</v>
      </c>
      <c r="F62" s="11">
        <f t="shared" si="1"/>
        <v>3.16</v>
      </c>
      <c r="G62" s="14">
        <f t="shared" si="2"/>
        <v>11.376000000000001</v>
      </c>
      <c r="H62" s="16"/>
    </row>
    <row r="63" spans="1:8" ht="16" x14ac:dyDescent="0.2">
      <c r="A63" s="10" t="s">
        <v>14</v>
      </c>
      <c r="B63" s="2" t="s">
        <v>13</v>
      </c>
      <c r="C63" s="2">
        <v>4</v>
      </c>
      <c r="D63" s="11">
        <v>3.95</v>
      </c>
      <c r="E63" s="11">
        <v>1.29</v>
      </c>
      <c r="F63" s="11">
        <f t="shared" si="1"/>
        <v>3.0620155038759691</v>
      </c>
      <c r="G63" s="14">
        <f t="shared" si="2"/>
        <v>11.023255813953488</v>
      </c>
      <c r="H63" s="16"/>
    </row>
    <row r="64" spans="1:8" ht="16" x14ac:dyDescent="0.2">
      <c r="A64" s="10" t="s">
        <v>14</v>
      </c>
      <c r="B64" s="2" t="s">
        <v>13</v>
      </c>
      <c r="C64" s="2">
        <v>5</v>
      </c>
      <c r="D64" s="11">
        <v>3.95</v>
      </c>
      <c r="E64" s="11">
        <v>1.38</v>
      </c>
      <c r="F64" s="11">
        <f t="shared" si="1"/>
        <v>2.8623188405797104</v>
      </c>
      <c r="G64" s="14">
        <f t="shared" si="2"/>
        <v>10.304347826086957</v>
      </c>
      <c r="H64" s="16"/>
    </row>
    <row r="65" spans="1:8" ht="16" x14ac:dyDescent="0.2">
      <c r="A65" s="10" t="s">
        <v>14</v>
      </c>
      <c r="B65" s="2" t="s">
        <v>13</v>
      </c>
      <c r="C65" s="2">
        <v>6</v>
      </c>
      <c r="D65" s="11">
        <v>3.95</v>
      </c>
      <c r="E65" s="11">
        <v>1.39</v>
      </c>
      <c r="F65" s="11">
        <f t="shared" si="1"/>
        <v>2.8417266187050365</v>
      </c>
      <c r="G65" s="14">
        <f t="shared" si="2"/>
        <v>10.230215827338132</v>
      </c>
      <c r="H65" s="16"/>
    </row>
    <row r="66" spans="1:8" ht="16" x14ac:dyDescent="0.2">
      <c r="A66" s="10" t="s">
        <v>14</v>
      </c>
      <c r="B66" s="2" t="s">
        <v>13</v>
      </c>
      <c r="C66" s="2">
        <v>7</v>
      </c>
      <c r="D66" s="11">
        <v>3.95</v>
      </c>
      <c r="E66" s="11">
        <v>1.31</v>
      </c>
      <c r="F66" s="11">
        <f t="shared" si="1"/>
        <v>3.0152671755725189</v>
      </c>
      <c r="G66" s="14">
        <f t="shared" si="2"/>
        <v>10.854961832061068</v>
      </c>
      <c r="H66" s="16"/>
    </row>
    <row r="67" spans="1:8" ht="16" x14ac:dyDescent="0.2">
      <c r="A67" s="10" t="s">
        <v>14</v>
      </c>
      <c r="B67" s="2" t="s">
        <v>13</v>
      </c>
      <c r="C67" s="2">
        <v>8</v>
      </c>
      <c r="D67" s="11">
        <v>3.95</v>
      </c>
      <c r="E67" s="11">
        <v>1.33</v>
      </c>
      <c r="F67" s="11">
        <f t="shared" si="1"/>
        <v>2.969924812030075</v>
      </c>
      <c r="G67" s="14">
        <f t="shared" si="2"/>
        <v>10.69172932330827</v>
      </c>
      <c r="H67" s="16"/>
    </row>
    <row r="68" spans="1:8" ht="16" x14ac:dyDescent="0.2">
      <c r="A68" s="10" t="s">
        <v>14</v>
      </c>
      <c r="B68" s="2" t="s">
        <v>13</v>
      </c>
      <c r="C68" s="2">
        <v>9</v>
      </c>
      <c r="D68" s="11">
        <v>3.95</v>
      </c>
      <c r="E68" s="11">
        <v>1.37</v>
      </c>
      <c r="F68" s="11">
        <f t="shared" si="1"/>
        <v>2.8832116788321165</v>
      </c>
      <c r="G68" s="14">
        <f t="shared" si="2"/>
        <v>10.37956204379562</v>
      </c>
      <c r="H68" s="16"/>
    </row>
    <row r="69" spans="1:8" ht="16" x14ac:dyDescent="0.2">
      <c r="A69" s="10" t="s">
        <v>14</v>
      </c>
      <c r="B69" s="2" t="s">
        <v>13</v>
      </c>
      <c r="C69" s="2">
        <v>10</v>
      </c>
      <c r="D69" s="11">
        <v>3.95</v>
      </c>
      <c r="E69" s="11">
        <v>1.36</v>
      </c>
      <c r="F69" s="11">
        <f t="shared" si="1"/>
        <v>2.9044117647058822</v>
      </c>
      <c r="G69" s="14">
        <f t="shared" si="2"/>
        <v>10.455882352941176</v>
      </c>
      <c r="H69" s="16"/>
    </row>
    <row r="70" spans="1:8" ht="16" x14ac:dyDescent="0.2">
      <c r="A70" s="10" t="s">
        <v>15</v>
      </c>
      <c r="B70" s="2" t="s">
        <v>11</v>
      </c>
      <c r="C70" s="2">
        <v>1</v>
      </c>
      <c r="D70" s="11">
        <v>3.73</v>
      </c>
      <c r="E70" s="11">
        <v>3.27</v>
      </c>
      <c r="F70" s="11">
        <f t="shared" si="1"/>
        <v>1.1406727828746177</v>
      </c>
      <c r="G70" s="17">
        <f t="shared" si="2"/>
        <v>4.1064220183486242</v>
      </c>
      <c r="H70" s="16" t="s">
        <v>34</v>
      </c>
    </row>
    <row r="71" spans="1:8" ht="16" x14ac:dyDescent="0.2">
      <c r="A71" s="10" t="s">
        <v>15</v>
      </c>
      <c r="B71" s="2" t="s">
        <v>11</v>
      </c>
      <c r="C71" s="2">
        <v>2</v>
      </c>
      <c r="D71" s="11">
        <v>3.73</v>
      </c>
      <c r="E71" s="11">
        <v>2.8</v>
      </c>
      <c r="F71" s="11">
        <f t="shared" si="1"/>
        <v>1.3321428571428573</v>
      </c>
      <c r="G71" s="17">
        <f t="shared" si="2"/>
        <v>4.7957142857142863</v>
      </c>
      <c r="H71" s="16"/>
    </row>
    <row r="72" spans="1:8" ht="16" x14ac:dyDescent="0.2">
      <c r="A72" s="10" t="s">
        <v>15</v>
      </c>
      <c r="B72" s="2" t="s">
        <v>11</v>
      </c>
      <c r="C72" s="2">
        <v>3</v>
      </c>
      <c r="D72" s="11">
        <v>3.73</v>
      </c>
      <c r="E72" s="18">
        <v>2.95</v>
      </c>
      <c r="F72" s="18">
        <f t="shared" si="1"/>
        <v>1.2644067796610168</v>
      </c>
      <c r="G72" s="17">
        <f t="shared" si="2"/>
        <v>4.5518644067796608</v>
      </c>
      <c r="H72" s="16"/>
    </row>
    <row r="73" spans="1:8" ht="16" x14ac:dyDescent="0.2">
      <c r="A73" s="10" t="s">
        <v>15</v>
      </c>
      <c r="B73" s="2" t="s">
        <v>11</v>
      </c>
      <c r="C73" s="2">
        <v>4</v>
      </c>
      <c r="D73" s="11">
        <v>3.73</v>
      </c>
      <c r="E73" s="18">
        <v>2.86</v>
      </c>
      <c r="F73" s="18">
        <f t="shared" si="1"/>
        <v>1.3041958041958042</v>
      </c>
      <c r="G73" s="17">
        <f t="shared" si="2"/>
        <v>4.6951048951048948</v>
      </c>
      <c r="H73" s="16"/>
    </row>
    <row r="74" spans="1:8" ht="16" x14ac:dyDescent="0.2">
      <c r="A74" s="13" t="s">
        <v>15</v>
      </c>
      <c r="B74" s="2" t="s">
        <v>11</v>
      </c>
      <c r="C74" s="2">
        <v>5</v>
      </c>
      <c r="D74" s="11">
        <v>3.73</v>
      </c>
      <c r="E74" s="18">
        <v>2.9</v>
      </c>
      <c r="F74" s="18">
        <f t="shared" si="1"/>
        <v>1.2862068965517242</v>
      </c>
      <c r="G74" s="17">
        <f t="shared" si="2"/>
        <v>4.6303448275862067</v>
      </c>
      <c r="H74" s="16"/>
    </row>
    <row r="75" spans="1:8" ht="16" x14ac:dyDescent="0.2">
      <c r="A75" s="10" t="s">
        <v>15</v>
      </c>
      <c r="B75" s="2" t="s">
        <v>11</v>
      </c>
      <c r="C75" s="2">
        <v>6</v>
      </c>
      <c r="D75" s="11">
        <v>3.73</v>
      </c>
      <c r="E75" s="18">
        <v>2.81</v>
      </c>
      <c r="F75" s="18">
        <f t="shared" si="1"/>
        <v>1.3274021352313168</v>
      </c>
      <c r="G75" s="17">
        <f t="shared" si="2"/>
        <v>4.7786476868327403</v>
      </c>
      <c r="H75" s="16"/>
    </row>
    <row r="76" spans="1:8" ht="16" x14ac:dyDescent="0.2">
      <c r="A76" s="10" t="s">
        <v>15</v>
      </c>
      <c r="B76" s="2" t="s">
        <v>11</v>
      </c>
      <c r="C76" s="2">
        <v>7</v>
      </c>
      <c r="D76" s="11">
        <v>3.73</v>
      </c>
      <c r="E76" s="18">
        <v>2.9</v>
      </c>
      <c r="F76" s="18">
        <f t="shared" si="1"/>
        <v>1.2862068965517242</v>
      </c>
      <c r="G76" s="17">
        <f t="shared" si="2"/>
        <v>4.6303448275862067</v>
      </c>
      <c r="H76" s="16"/>
    </row>
    <row r="77" spans="1:8" ht="16" x14ac:dyDescent="0.2">
      <c r="A77" s="10" t="s">
        <v>15</v>
      </c>
      <c r="B77" s="2" t="s">
        <v>11</v>
      </c>
      <c r="C77" s="2">
        <v>8</v>
      </c>
      <c r="D77" s="11">
        <v>3.73</v>
      </c>
      <c r="E77" s="18">
        <v>2.72</v>
      </c>
      <c r="F77" s="18">
        <f t="shared" si="1"/>
        <v>1.3713235294117645</v>
      </c>
      <c r="G77" s="17">
        <f t="shared" si="2"/>
        <v>4.9367647058823527</v>
      </c>
      <c r="H77" s="16"/>
    </row>
    <row r="78" spans="1:8" ht="16" x14ac:dyDescent="0.2">
      <c r="A78" s="10" t="s">
        <v>15</v>
      </c>
      <c r="B78" s="2" t="s">
        <v>11</v>
      </c>
      <c r="C78" s="2">
        <v>9</v>
      </c>
      <c r="D78" s="11">
        <v>3.73</v>
      </c>
      <c r="E78" s="18">
        <v>2.77</v>
      </c>
      <c r="F78" s="18">
        <f t="shared" si="1"/>
        <v>1.3465703971119134</v>
      </c>
      <c r="G78" s="17">
        <f t="shared" si="2"/>
        <v>4.8476534296028886</v>
      </c>
      <c r="H78" s="16"/>
    </row>
    <row r="79" spans="1:8" ht="16" x14ac:dyDescent="0.2">
      <c r="A79" s="13" t="s">
        <v>15</v>
      </c>
      <c r="B79" s="2" t="s">
        <v>11</v>
      </c>
      <c r="C79" s="2">
        <v>10</v>
      </c>
      <c r="D79" s="11">
        <v>3.73</v>
      </c>
      <c r="E79" s="18">
        <v>2.81</v>
      </c>
      <c r="F79" s="18">
        <f t="shared" si="1"/>
        <v>1.3274021352313168</v>
      </c>
      <c r="G79" s="17">
        <f t="shared" si="2"/>
        <v>4.7786476868327403</v>
      </c>
      <c r="H79" s="16"/>
    </row>
    <row r="80" spans="1:8" ht="16" x14ac:dyDescent="0.2">
      <c r="A80" s="10" t="s">
        <v>15</v>
      </c>
      <c r="B80" s="2" t="s">
        <v>12</v>
      </c>
      <c r="C80" s="2">
        <v>1</v>
      </c>
      <c r="D80" s="11">
        <v>3.73</v>
      </c>
      <c r="E80" s="18">
        <v>1.75</v>
      </c>
      <c r="F80" s="18">
        <f t="shared" si="1"/>
        <v>2.1314285714285712</v>
      </c>
      <c r="G80" s="17">
        <f t="shared" si="2"/>
        <v>7.6731428571428566</v>
      </c>
      <c r="H80" s="16"/>
    </row>
    <row r="81" spans="1:8" ht="16" x14ac:dyDescent="0.2">
      <c r="A81" s="10" t="s">
        <v>15</v>
      </c>
      <c r="B81" s="2" t="s">
        <v>12</v>
      </c>
      <c r="C81" s="2">
        <v>2</v>
      </c>
      <c r="D81" s="11">
        <v>3.73</v>
      </c>
      <c r="E81" s="18">
        <v>1.63</v>
      </c>
      <c r="F81" s="18">
        <f t="shared" si="1"/>
        <v>2.2883435582822087</v>
      </c>
      <c r="G81" s="17">
        <f t="shared" si="2"/>
        <v>8.2380368098159522</v>
      </c>
      <c r="H81" s="16"/>
    </row>
    <row r="82" spans="1:8" ht="16" x14ac:dyDescent="0.2">
      <c r="A82" s="10" t="s">
        <v>15</v>
      </c>
      <c r="B82" s="2" t="s">
        <v>12</v>
      </c>
      <c r="C82" s="2">
        <v>3</v>
      </c>
      <c r="D82" s="11">
        <v>3.73</v>
      </c>
      <c r="E82" s="18">
        <v>1.74</v>
      </c>
      <c r="F82" s="18">
        <f t="shared" si="1"/>
        <v>2.1436781609195403</v>
      </c>
      <c r="G82" s="17">
        <f t="shared" si="2"/>
        <v>7.7172413793103454</v>
      </c>
      <c r="H82" s="16"/>
    </row>
    <row r="83" spans="1:8" ht="16" x14ac:dyDescent="0.2">
      <c r="A83" s="10" t="s">
        <v>15</v>
      </c>
      <c r="B83" s="2" t="s">
        <v>12</v>
      </c>
      <c r="C83" s="2">
        <v>4</v>
      </c>
      <c r="D83" s="11">
        <v>3.73</v>
      </c>
      <c r="E83" s="18">
        <v>1.88</v>
      </c>
      <c r="F83" s="18">
        <f t="shared" si="1"/>
        <v>1.9840425531914894</v>
      </c>
      <c r="G83" s="17">
        <f t="shared" si="2"/>
        <v>7.1425531914893616</v>
      </c>
      <c r="H83" s="16"/>
    </row>
    <row r="84" spans="1:8" ht="16" x14ac:dyDescent="0.2">
      <c r="A84" s="13" t="s">
        <v>15</v>
      </c>
      <c r="B84" s="2" t="s">
        <v>12</v>
      </c>
      <c r="C84" s="2">
        <v>5</v>
      </c>
      <c r="D84" s="11">
        <v>3.73</v>
      </c>
      <c r="E84" s="18">
        <v>1.71</v>
      </c>
      <c r="F84" s="18">
        <f t="shared" si="1"/>
        <v>2.1812865497076022</v>
      </c>
      <c r="G84" s="17">
        <f t="shared" si="2"/>
        <v>7.852631578947368</v>
      </c>
      <c r="H84" s="16"/>
    </row>
    <row r="85" spans="1:8" ht="16" x14ac:dyDescent="0.2">
      <c r="A85" s="10" t="s">
        <v>15</v>
      </c>
      <c r="B85" s="2" t="s">
        <v>12</v>
      </c>
      <c r="C85" s="2">
        <v>6</v>
      </c>
      <c r="D85" s="11">
        <v>3.73</v>
      </c>
      <c r="E85" s="18">
        <v>1.79</v>
      </c>
      <c r="F85" s="18">
        <f t="shared" si="1"/>
        <v>2.0837988826815641</v>
      </c>
      <c r="G85" s="17">
        <f t="shared" si="2"/>
        <v>7.5016759776536306</v>
      </c>
      <c r="H85" s="16"/>
    </row>
    <row r="86" spans="1:8" ht="16" x14ac:dyDescent="0.2">
      <c r="A86" s="10" t="s">
        <v>15</v>
      </c>
      <c r="B86" s="2" t="s">
        <v>12</v>
      </c>
      <c r="C86" s="2">
        <v>7</v>
      </c>
      <c r="D86" s="11">
        <v>3.73</v>
      </c>
      <c r="E86" s="18">
        <v>1.72</v>
      </c>
      <c r="F86" s="18">
        <f t="shared" si="1"/>
        <v>2.1686046511627906</v>
      </c>
      <c r="G86" s="17">
        <f t="shared" si="2"/>
        <v>7.8069767441860458</v>
      </c>
      <c r="H86" s="16"/>
    </row>
    <row r="87" spans="1:8" ht="16" x14ac:dyDescent="0.2">
      <c r="A87" s="10" t="s">
        <v>15</v>
      </c>
      <c r="B87" s="2" t="s">
        <v>12</v>
      </c>
      <c r="C87" s="2">
        <v>8</v>
      </c>
      <c r="D87" s="11">
        <v>3.73</v>
      </c>
      <c r="E87" s="18">
        <v>1.84</v>
      </c>
      <c r="F87" s="18">
        <f t="shared" si="1"/>
        <v>2.027173913043478</v>
      </c>
      <c r="G87" s="17">
        <f t="shared" si="2"/>
        <v>7.2978260869565208</v>
      </c>
      <c r="H87" s="16"/>
    </row>
    <row r="88" spans="1:8" ht="16" x14ac:dyDescent="0.2">
      <c r="A88" s="10" t="s">
        <v>15</v>
      </c>
      <c r="B88" s="2" t="s">
        <v>12</v>
      </c>
      <c r="C88" s="2">
        <v>9</v>
      </c>
      <c r="D88" s="11">
        <v>3.73</v>
      </c>
      <c r="E88" s="18">
        <v>1.88</v>
      </c>
      <c r="F88" s="18">
        <f t="shared" si="1"/>
        <v>1.9840425531914894</v>
      </c>
      <c r="G88" s="17">
        <f t="shared" si="2"/>
        <v>7.1425531914893616</v>
      </c>
      <c r="H88" s="16"/>
    </row>
    <row r="89" spans="1:8" ht="16" x14ac:dyDescent="0.2">
      <c r="A89" s="13" t="s">
        <v>15</v>
      </c>
      <c r="B89" s="2" t="s">
        <v>12</v>
      </c>
      <c r="C89" s="2">
        <v>10</v>
      </c>
      <c r="D89" s="11">
        <v>3.73</v>
      </c>
      <c r="E89" s="18">
        <v>1.68</v>
      </c>
      <c r="F89" s="18">
        <f t="shared" si="1"/>
        <v>2.2202380952380953</v>
      </c>
      <c r="G89" s="17">
        <f t="shared" si="2"/>
        <v>7.9928571428571438</v>
      </c>
      <c r="H89" s="16"/>
    </row>
    <row r="90" spans="1:8" ht="16" x14ac:dyDescent="0.2">
      <c r="A90" s="10" t="s">
        <v>15</v>
      </c>
      <c r="B90" s="2" t="s">
        <v>12</v>
      </c>
      <c r="C90" s="2">
        <v>11</v>
      </c>
      <c r="D90" s="11">
        <v>3.73</v>
      </c>
      <c r="E90" s="18">
        <v>1.18</v>
      </c>
      <c r="F90" s="18">
        <f t="shared" si="1"/>
        <v>3.1610169491525424</v>
      </c>
      <c r="G90" s="17">
        <f t="shared" si="2"/>
        <v>11.379661016949154</v>
      </c>
      <c r="H90" s="16"/>
    </row>
    <row r="91" spans="1:8" ht="16" x14ac:dyDescent="0.2">
      <c r="A91" s="10" t="s">
        <v>15</v>
      </c>
      <c r="B91" s="2" t="s">
        <v>13</v>
      </c>
      <c r="C91" s="2">
        <v>1</v>
      </c>
      <c r="D91" s="11">
        <v>3.73</v>
      </c>
      <c r="E91" s="18">
        <v>1.25</v>
      </c>
      <c r="F91" s="18">
        <f t="shared" si="1"/>
        <v>2.984</v>
      </c>
      <c r="G91" s="17">
        <f t="shared" si="2"/>
        <v>10.7424</v>
      </c>
      <c r="H91" s="16"/>
    </row>
    <row r="92" spans="1:8" ht="16" x14ac:dyDescent="0.2">
      <c r="A92" s="10" t="s">
        <v>15</v>
      </c>
      <c r="B92" s="2" t="s">
        <v>13</v>
      </c>
      <c r="C92" s="2">
        <v>2</v>
      </c>
      <c r="D92" s="11">
        <v>3.73</v>
      </c>
      <c r="E92" s="18">
        <v>1.32</v>
      </c>
      <c r="F92" s="18">
        <f t="shared" si="1"/>
        <v>2.8257575757575757</v>
      </c>
      <c r="G92" s="17">
        <f t="shared" si="2"/>
        <v>10.172727272727272</v>
      </c>
      <c r="H92" s="16"/>
    </row>
    <row r="93" spans="1:8" ht="16" x14ac:dyDescent="0.2">
      <c r="A93" s="10" t="s">
        <v>15</v>
      </c>
      <c r="B93" s="2" t="s">
        <v>13</v>
      </c>
      <c r="C93" s="2">
        <v>3</v>
      </c>
      <c r="D93" s="11">
        <v>3.73</v>
      </c>
      <c r="E93" s="18">
        <v>1.34</v>
      </c>
      <c r="F93" s="18">
        <f t="shared" si="1"/>
        <v>2.7835820895522385</v>
      </c>
      <c r="G93" s="17">
        <f t="shared" si="2"/>
        <v>10.020895522388059</v>
      </c>
      <c r="H93" s="16"/>
    </row>
    <row r="94" spans="1:8" ht="16" x14ac:dyDescent="0.2">
      <c r="A94" s="13" t="s">
        <v>15</v>
      </c>
      <c r="B94" s="2" t="s">
        <v>13</v>
      </c>
      <c r="C94" s="2">
        <v>4</v>
      </c>
      <c r="D94" s="11">
        <v>3.73</v>
      </c>
      <c r="E94" s="18">
        <v>1.3</v>
      </c>
      <c r="F94" s="18">
        <f t="shared" si="1"/>
        <v>2.8692307692307693</v>
      </c>
      <c r="G94" s="17">
        <f t="shared" si="2"/>
        <v>10.329230769230769</v>
      </c>
      <c r="H94" s="16"/>
    </row>
    <row r="95" spans="1:8" ht="16" x14ac:dyDescent="0.2">
      <c r="A95" s="10" t="s">
        <v>15</v>
      </c>
      <c r="B95" s="2" t="s">
        <v>13</v>
      </c>
      <c r="C95" s="2">
        <v>5</v>
      </c>
      <c r="D95" s="11">
        <v>3.73</v>
      </c>
      <c r="E95" s="18">
        <v>1.3</v>
      </c>
      <c r="F95" s="18">
        <f t="shared" si="1"/>
        <v>2.8692307692307693</v>
      </c>
      <c r="G95" s="17">
        <f t="shared" si="2"/>
        <v>10.329230769230769</v>
      </c>
      <c r="H95" s="16"/>
    </row>
    <row r="96" spans="1:8" ht="16" x14ac:dyDescent="0.2">
      <c r="A96" s="10" t="s">
        <v>15</v>
      </c>
      <c r="B96" s="2" t="s">
        <v>13</v>
      </c>
      <c r="C96" s="2">
        <v>6</v>
      </c>
      <c r="D96" s="11">
        <v>3.73</v>
      </c>
      <c r="E96" s="18">
        <v>1.18</v>
      </c>
      <c r="F96" s="18">
        <f t="shared" si="1"/>
        <v>3.1610169491525424</v>
      </c>
      <c r="G96" s="17">
        <f t="shared" si="2"/>
        <v>11.379661016949154</v>
      </c>
      <c r="H96" s="16"/>
    </row>
    <row r="97" spans="1:8" ht="16" x14ac:dyDescent="0.2">
      <c r="A97" s="10" t="s">
        <v>15</v>
      </c>
      <c r="B97" s="2" t="s">
        <v>13</v>
      </c>
      <c r="C97" s="2">
        <v>7</v>
      </c>
      <c r="D97" s="11">
        <v>3.73</v>
      </c>
      <c r="E97" s="18">
        <v>1.27</v>
      </c>
      <c r="F97" s="18">
        <f t="shared" si="1"/>
        <v>2.9370078740157481</v>
      </c>
      <c r="G97" s="17">
        <f t="shared" si="2"/>
        <v>10.573228346456693</v>
      </c>
      <c r="H97" s="16"/>
    </row>
    <row r="98" spans="1:8" ht="16" x14ac:dyDescent="0.2">
      <c r="A98" s="10" t="s">
        <v>15</v>
      </c>
      <c r="B98" s="2" t="s">
        <v>13</v>
      </c>
      <c r="C98" s="2">
        <v>8</v>
      </c>
      <c r="D98" s="11">
        <v>3.73</v>
      </c>
      <c r="E98" s="18">
        <v>1.25</v>
      </c>
      <c r="F98" s="18">
        <f t="shared" si="1"/>
        <v>2.984</v>
      </c>
      <c r="G98" s="17">
        <f t="shared" si="2"/>
        <v>10.7424</v>
      </c>
      <c r="H98" s="16"/>
    </row>
    <row r="99" spans="1:8" ht="16" x14ac:dyDescent="0.2">
      <c r="A99" s="13" t="s">
        <v>15</v>
      </c>
      <c r="B99" s="2" t="s">
        <v>13</v>
      </c>
      <c r="C99" s="2">
        <v>9</v>
      </c>
      <c r="D99" s="11">
        <v>3.73</v>
      </c>
      <c r="E99" s="18">
        <v>1.36</v>
      </c>
      <c r="F99" s="18">
        <f t="shared" si="1"/>
        <v>2.742647058823529</v>
      </c>
      <c r="G99" s="17">
        <f t="shared" si="2"/>
        <v>9.8735294117647054</v>
      </c>
      <c r="H99" s="16"/>
    </row>
    <row r="100" spans="1:8" ht="16" x14ac:dyDescent="0.2">
      <c r="A100" s="13" t="s">
        <v>15</v>
      </c>
      <c r="B100" s="2" t="s">
        <v>13</v>
      </c>
      <c r="C100" s="2">
        <v>10</v>
      </c>
      <c r="D100" s="11">
        <v>3.73</v>
      </c>
      <c r="E100" s="18">
        <v>1.23</v>
      </c>
      <c r="F100" s="18">
        <f t="shared" si="1"/>
        <v>3.0325203252032522</v>
      </c>
      <c r="G100" s="17">
        <f t="shared" si="2"/>
        <v>10.917073170731708</v>
      </c>
      <c r="H100" s="16"/>
    </row>
    <row r="101" spans="1:8" ht="16" x14ac:dyDescent="0.2">
      <c r="A101" s="13" t="s">
        <v>16</v>
      </c>
      <c r="B101" s="2" t="s">
        <v>11</v>
      </c>
      <c r="C101" s="2">
        <v>1</v>
      </c>
      <c r="D101" s="11">
        <v>3.95</v>
      </c>
      <c r="E101" s="18">
        <v>2.2599999999999998</v>
      </c>
      <c r="F101" s="18">
        <f t="shared" si="1"/>
        <v>1.7477876106194692</v>
      </c>
      <c r="G101" s="17">
        <f t="shared" si="2"/>
        <v>6.2920353982300892</v>
      </c>
      <c r="H101" s="16" t="s">
        <v>35</v>
      </c>
    </row>
    <row r="102" spans="1:8" ht="16" x14ac:dyDescent="0.2">
      <c r="A102" s="13" t="s">
        <v>16</v>
      </c>
      <c r="B102" s="2" t="s">
        <v>11</v>
      </c>
      <c r="C102" s="2">
        <v>2</v>
      </c>
      <c r="D102" s="11">
        <v>3.95</v>
      </c>
      <c r="E102" s="18">
        <v>2.6</v>
      </c>
      <c r="F102" s="18">
        <f t="shared" ref="F102:F133" si="3">D102/E102</f>
        <v>1.5192307692307692</v>
      </c>
      <c r="G102" s="17">
        <f t="shared" ref="G102:G165" si="4">F102*3.6</f>
        <v>5.4692307692307693</v>
      </c>
      <c r="H102" s="16"/>
    </row>
    <row r="103" spans="1:8" ht="16" x14ac:dyDescent="0.2">
      <c r="A103" s="13" t="s">
        <v>16</v>
      </c>
      <c r="B103" s="2" t="s">
        <v>11</v>
      </c>
      <c r="C103" s="2">
        <v>3</v>
      </c>
      <c r="D103" s="11">
        <v>3.95</v>
      </c>
      <c r="E103" s="16">
        <v>2.4500000000000002</v>
      </c>
      <c r="F103" s="18">
        <f t="shared" si="3"/>
        <v>1.6122448979591837</v>
      </c>
      <c r="G103" s="17">
        <f t="shared" si="4"/>
        <v>5.8040816326530615</v>
      </c>
      <c r="H103" s="16"/>
    </row>
    <row r="104" spans="1:8" ht="16" x14ac:dyDescent="0.2">
      <c r="A104" s="13" t="s">
        <v>16</v>
      </c>
      <c r="B104" s="2" t="s">
        <v>11</v>
      </c>
      <c r="C104" s="2">
        <v>4</v>
      </c>
      <c r="D104" s="11">
        <v>3.95</v>
      </c>
      <c r="E104" s="18">
        <v>2.4</v>
      </c>
      <c r="F104" s="18">
        <f t="shared" si="3"/>
        <v>1.6458333333333335</v>
      </c>
      <c r="G104" s="17">
        <f t="shared" si="4"/>
        <v>5.9250000000000007</v>
      </c>
      <c r="H104" s="16"/>
    </row>
    <row r="105" spans="1:8" ht="16" x14ac:dyDescent="0.2">
      <c r="A105" s="13" t="s">
        <v>16</v>
      </c>
      <c r="B105" s="2" t="s">
        <v>11</v>
      </c>
      <c r="C105" s="2">
        <v>5</v>
      </c>
      <c r="D105" s="11">
        <v>3.95</v>
      </c>
      <c r="E105" s="18">
        <v>2.58</v>
      </c>
      <c r="F105" s="18">
        <f t="shared" si="3"/>
        <v>1.5310077519379846</v>
      </c>
      <c r="G105" s="17">
        <f t="shared" si="4"/>
        <v>5.5116279069767442</v>
      </c>
      <c r="H105" s="16"/>
    </row>
    <row r="106" spans="1:8" ht="16" x14ac:dyDescent="0.2">
      <c r="A106" s="13" t="s">
        <v>16</v>
      </c>
      <c r="B106" s="2" t="s">
        <v>11</v>
      </c>
      <c r="C106" s="2">
        <v>6</v>
      </c>
      <c r="D106" s="11">
        <v>3.95</v>
      </c>
      <c r="E106" s="18">
        <v>2.62</v>
      </c>
      <c r="F106" s="18">
        <f t="shared" si="3"/>
        <v>1.5076335877862594</v>
      </c>
      <c r="G106" s="17">
        <f t="shared" si="4"/>
        <v>5.4274809160305342</v>
      </c>
      <c r="H106" s="16"/>
    </row>
    <row r="107" spans="1:8" ht="16" x14ac:dyDescent="0.2">
      <c r="A107" s="13" t="s">
        <v>16</v>
      </c>
      <c r="B107" s="2" t="s">
        <v>11</v>
      </c>
      <c r="C107" s="2">
        <v>7</v>
      </c>
      <c r="D107" s="11">
        <v>3.95</v>
      </c>
      <c r="E107" s="18">
        <v>2.4</v>
      </c>
      <c r="F107" s="18">
        <f t="shared" si="3"/>
        <v>1.6458333333333335</v>
      </c>
      <c r="G107" s="17">
        <f t="shared" si="4"/>
        <v>5.9250000000000007</v>
      </c>
      <c r="H107" s="16"/>
    </row>
    <row r="108" spans="1:8" ht="16" x14ac:dyDescent="0.2">
      <c r="A108" s="13" t="s">
        <v>16</v>
      </c>
      <c r="B108" s="2" t="s">
        <v>11</v>
      </c>
      <c r="C108" s="2">
        <v>8</v>
      </c>
      <c r="D108" s="11">
        <v>3.95</v>
      </c>
      <c r="E108" s="18">
        <v>2.56</v>
      </c>
      <c r="F108" s="18">
        <f t="shared" si="3"/>
        <v>1.54296875</v>
      </c>
      <c r="G108" s="17">
        <f t="shared" si="4"/>
        <v>5.5546875</v>
      </c>
      <c r="H108" s="16"/>
    </row>
    <row r="109" spans="1:8" ht="16" x14ac:dyDescent="0.2">
      <c r="A109" s="13" t="s">
        <v>16</v>
      </c>
      <c r="B109" s="2" t="s">
        <v>11</v>
      </c>
      <c r="C109" s="2">
        <v>9</v>
      </c>
      <c r="D109" s="11">
        <v>3.95</v>
      </c>
      <c r="E109" s="18">
        <v>2.56</v>
      </c>
      <c r="F109" s="18">
        <f t="shared" si="3"/>
        <v>1.54296875</v>
      </c>
      <c r="G109" s="17">
        <f t="shared" si="4"/>
        <v>5.5546875</v>
      </c>
      <c r="H109" s="16"/>
    </row>
    <row r="110" spans="1:8" ht="16" x14ac:dyDescent="0.2">
      <c r="A110" s="13" t="s">
        <v>16</v>
      </c>
      <c r="B110" s="2" t="s">
        <v>11</v>
      </c>
      <c r="C110" s="2">
        <v>10</v>
      </c>
      <c r="D110" s="11">
        <v>3.95</v>
      </c>
      <c r="E110" s="18">
        <v>2.4500000000000002</v>
      </c>
      <c r="F110" s="18">
        <f t="shared" si="3"/>
        <v>1.6122448979591837</v>
      </c>
      <c r="G110" s="17">
        <f t="shared" si="4"/>
        <v>5.8040816326530615</v>
      </c>
      <c r="H110" s="16"/>
    </row>
    <row r="111" spans="1:8" ht="16" x14ac:dyDescent="0.2">
      <c r="A111" s="13" t="s">
        <v>16</v>
      </c>
      <c r="B111" s="2" t="s">
        <v>11</v>
      </c>
      <c r="C111" s="2">
        <v>11</v>
      </c>
      <c r="D111" s="11">
        <v>3.95</v>
      </c>
      <c r="E111" s="18">
        <v>2.6</v>
      </c>
      <c r="F111" s="18">
        <f t="shared" si="3"/>
        <v>1.5192307692307692</v>
      </c>
      <c r="G111" s="17">
        <f t="shared" si="4"/>
        <v>5.4692307692307693</v>
      </c>
      <c r="H111" s="16"/>
    </row>
    <row r="112" spans="1:8" ht="16" x14ac:dyDescent="0.2">
      <c r="A112" s="13" t="s">
        <v>16</v>
      </c>
      <c r="B112" s="2" t="s">
        <v>12</v>
      </c>
      <c r="C112" s="2">
        <v>1</v>
      </c>
      <c r="D112" s="11">
        <v>3.95</v>
      </c>
      <c r="E112" s="18">
        <v>1.55</v>
      </c>
      <c r="F112" s="18">
        <f t="shared" si="3"/>
        <v>2.5483870967741935</v>
      </c>
      <c r="G112" s="17">
        <f t="shared" si="4"/>
        <v>9.1741935483870964</v>
      </c>
      <c r="H112" s="16"/>
    </row>
    <row r="113" spans="1:8" ht="16" x14ac:dyDescent="0.2">
      <c r="A113" s="13" t="s">
        <v>16</v>
      </c>
      <c r="B113" s="2" t="s">
        <v>12</v>
      </c>
      <c r="C113" s="2">
        <v>2</v>
      </c>
      <c r="D113" s="11">
        <v>3.95</v>
      </c>
      <c r="E113" s="18">
        <v>1.49</v>
      </c>
      <c r="F113" s="18">
        <f t="shared" si="3"/>
        <v>2.651006711409396</v>
      </c>
      <c r="G113" s="17">
        <f t="shared" si="4"/>
        <v>9.5436241610738257</v>
      </c>
      <c r="H113" s="16"/>
    </row>
    <row r="114" spans="1:8" ht="16" x14ac:dyDescent="0.2">
      <c r="A114" s="13" t="s">
        <v>16</v>
      </c>
      <c r="B114" s="2" t="s">
        <v>12</v>
      </c>
      <c r="C114" s="2">
        <v>3</v>
      </c>
      <c r="D114" s="11">
        <v>3.95</v>
      </c>
      <c r="E114" s="18">
        <v>1.49</v>
      </c>
      <c r="F114" s="18">
        <f t="shared" si="3"/>
        <v>2.651006711409396</v>
      </c>
      <c r="G114" s="17">
        <f t="shared" si="4"/>
        <v>9.5436241610738257</v>
      </c>
      <c r="H114" s="16"/>
    </row>
    <row r="115" spans="1:8" ht="16" x14ac:dyDescent="0.2">
      <c r="A115" s="13" t="s">
        <v>16</v>
      </c>
      <c r="B115" s="2" t="s">
        <v>12</v>
      </c>
      <c r="C115" s="2">
        <v>4</v>
      </c>
      <c r="D115" s="11">
        <v>3.95</v>
      </c>
      <c r="E115" s="18">
        <v>1.48</v>
      </c>
      <c r="F115" s="18">
        <f t="shared" si="3"/>
        <v>2.6689189189189189</v>
      </c>
      <c r="G115" s="17">
        <f t="shared" si="4"/>
        <v>9.6081081081081088</v>
      </c>
      <c r="H115" s="16"/>
    </row>
    <row r="116" spans="1:8" ht="16" x14ac:dyDescent="0.2">
      <c r="A116" s="13" t="s">
        <v>16</v>
      </c>
      <c r="B116" s="2" t="s">
        <v>12</v>
      </c>
      <c r="C116" s="2">
        <v>5</v>
      </c>
      <c r="D116" s="11">
        <v>3.95</v>
      </c>
      <c r="E116" s="18">
        <v>1.35</v>
      </c>
      <c r="F116" s="18">
        <f t="shared" si="3"/>
        <v>2.925925925925926</v>
      </c>
      <c r="G116" s="17">
        <f t="shared" si="4"/>
        <v>10.533333333333333</v>
      </c>
      <c r="H116" s="16"/>
    </row>
    <row r="117" spans="1:8" ht="16" x14ac:dyDescent="0.2">
      <c r="A117" s="13" t="s">
        <v>16</v>
      </c>
      <c r="B117" s="2" t="s">
        <v>12</v>
      </c>
      <c r="C117" s="2">
        <v>6</v>
      </c>
      <c r="D117" s="11">
        <v>3.95</v>
      </c>
      <c r="E117" s="18">
        <v>1.38</v>
      </c>
      <c r="F117" s="18">
        <f t="shared" si="3"/>
        <v>2.8623188405797104</v>
      </c>
      <c r="G117" s="17">
        <f t="shared" si="4"/>
        <v>10.304347826086957</v>
      </c>
      <c r="H117" s="16"/>
    </row>
    <row r="118" spans="1:8" ht="16" x14ac:dyDescent="0.2">
      <c r="A118" s="13" t="s">
        <v>16</v>
      </c>
      <c r="B118" s="2" t="s">
        <v>12</v>
      </c>
      <c r="C118" s="2">
        <v>7</v>
      </c>
      <c r="D118" s="11">
        <v>3.95</v>
      </c>
      <c r="E118" s="18">
        <v>1.41</v>
      </c>
      <c r="F118" s="18">
        <f t="shared" si="3"/>
        <v>2.8014184397163122</v>
      </c>
      <c r="G118" s="17">
        <f t="shared" si="4"/>
        <v>10.085106382978724</v>
      </c>
      <c r="H118" s="16"/>
    </row>
    <row r="119" spans="1:8" ht="16" x14ac:dyDescent="0.2">
      <c r="A119" s="13" t="s">
        <v>16</v>
      </c>
      <c r="B119" s="2" t="s">
        <v>12</v>
      </c>
      <c r="C119" s="2">
        <v>8</v>
      </c>
      <c r="D119" s="11">
        <v>3.95</v>
      </c>
      <c r="E119" s="18">
        <v>1.42</v>
      </c>
      <c r="F119" s="18">
        <f t="shared" si="3"/>
        <v>2.7816901408450705</v>
      </c>
      <c r="G119" s="17">
        <f t="shared" si="4"/>
        <v>10.014084507042254</v>
      </c>
      <c r="H119" s="16"/>
    </row>
    <row r="120" spans="1:8" ht="16" x14ac:dyDescent="0.2">
      <c r="A120" s="13" t="s">
        <v>16</v>
      </c>
      <c r="B120" s="2" t="s">
        <v>12</v>
      </c>
      <c r="C120" s="2">
        <v>9</v>
      </c>
      <c r="D120" s="11">
        <v>3.95</v>
      </c>
      <c r="E120" s="18">
        <v>1.53</v>
      </c>
      <c r="F120" s="18">
        <f t="shared" si="3"/>
        <v>2.5816993464052289</v>
      </c>
      <c r="G120" s="17">
        <f t="shared" si="4"/>
        <v>9.2941176470588243</v>
      </c>
      <c r="H120" s="16"/>
    </row>
    <row r="121" spans="1:8" ht="16" x14ac:dyDescent="0.2">
      <c r="A121" s="13" t="s">
        <v>16</v>
      </c>
      <c r="B121" s="2" t="s">
        <v>12</v>
      </c>
      <c r="C121" s="2">
        <v>10</v>
      </c>
      <c r="D121" s="11">
        <v>3.95</v>
      </c>
      <c r="E121" s="18">
        <v>1.47</v>
      </c>
      <c r="F121" s="18">
        <f t="shared" si="3"/>
        <v>2.6870748299319729</v>
      </c>
      <c r="G121" s="17">
        <f t="shared" si="4"/>
        <v>9.6734693877551035</v>
      </c>
      <c r="H121" s="16"/>
    </row>
    <row r="122" spans="1:8" ht="16" x14ac:dyDescent="0.2">
      <c r="A122" s="13" t="s">
        <v>16</v>
      </c>
      <c r="B122" s="2" t="s">
        <v>13</v>
      </c>
      <c r="C122" s="2">
        <v>1</v>
      </c>
      <c r="D122" s="11">
        <v>3.95</v>
      </c>
      <c r="E122" s="18">
        <v>1.1599999999999999</v>
      </c>
      <c r="F122" s="18">
        <f t="shared" si="3"/>
        <v>3.4051724137931036</v>
      </c>
      <c r="G122" s="17">
        <f t="shared" si="4"/>
        <v>12.258620689655173</v>
      </c>
      <c r="H122" s="16"/>
    </row>
    <row r="123" spans="1:8" ht="16" x14ac:dyDescent="0.2">
      <c r="A123" s="13" t="s">
        <v>16</v>
      </c>
      <c r="B123" s="2" t="s">
        <v>13</v>
      </c>
      <c r="C123" s="2">
        <v>2</v>
      </c>
      <c r="D123" s="11">
        <v>3.95</v>
      </c>
      <c r="E123" s="18">
        <v>1.1599999999999999</v>
      </c>
      <c r="F123" s="18">
        <f t="shared" si="3"/>
        <v>3.4051724137931036</v>
      </c>
      <c r="G123" s="17">
        <f t="shared" si="4"/>
        <v>12.258620689655173</v>
      </c>
      <c r="H123" s="16"/>
    </row>
    <row r="124" spans="1:8" ht="16" x14ac:dyDescent="0.2">
      <c r="A124" s="13" t="s">
        <v>16</v>
      </c>
      <c r="B124" s="2" t="s">
        <v>13</v>
      </c>
      <c r="C124" s="2">
        <v>3</v>
      </c>
      <c r="D124" s="11">
        <v>3.95</v>
      </c>
      <c r="E124" s="18">
        <v>1.21</v>
      </c>
      <c r="F124" s="18">
        <f t="shared" si="3"/>
        <v>3.2644628099173558</v>
      </c>
      <c r="G124" s="17">
        <f t="shared" si="4"/>
        <v>11.752066115702481</v>
      </c>
      <c r="H124" s="16"/>
    </row>
    <row r="125" spans="1:8" ht="16" x14ac:dyDescent="0.2">
      <c r="A125" s="13" t="s">
        <v>16</v>
      </c>
      <c r="B125" s="2" t="s">
        <v>13</v>
      </c>
      <c r="C125" s="2">
        <v>4</v>
      </c>
      <c r="D125" s="11">
        <v>3.95</v>
      </c>
      <c r="E125" s="18">
        <v>1.28</v>
      </c>
      <c r="F125" s="18">
        <f t="shared" si="3"/>
        <v>3.0859375</v>
      </c>
      <c r="G125" s="17">
        <f t="shared" si="4"/>
        <v>11.109375</v>
      </c>
      <c r="H125" s="16"/>
    </row>
    <row r="126" spans="1:8" ht="16" x14ac:dyDescent="0.2">
      <c r="A126" s="13" t="s">
        <v>16</v>
      </c>
      <c r="B126" s="2" t="s">
        <v>13</v>
      </c>
      <c r="C126" s="2">
        <v>5</v>
      </c>
      <c r="D126" s="11">
        <v>3.95</v>
      </c>
      <c r="E126" s="18">
        <v>1.3</v>
      </c>
      <c r="F126" s="18">
        <f t="shared" si="3"/>
        <v>3.0384615384615383</v>
      </c>
      <c r="G126" s="17">
        <f t="shared" si="4"/>
        <v>10.938461538461539</v>
      </c>
      <c r="H126" s="16"/>
    </row>
    <row r="127" spans="1:8" ht="16" x14ac:dyDescent="0.2">
      <c r="A127" s="13" t="s">
        <v>16</v>
      </c>
      <c r="B127" s="2" t="s">
        <v>13</v>
      </c>
      <c r="C127" s="2">
        <v>6</v>
      </c>
      <c r="D127" s="11">
        <v>3.95</v>
      </c>
      <c r="E127" s="18">
        <v>1.2</v>
      </c>
      <c r="F127" s="18">
        <f t="shared" si="3"/>
        <v>3.291666666666667</v>
      </c>
      <c r="G127" s="17">
        <f t="shared" si="4"/>
        <v>11.850000000000001</v>
      </c>
      <c r="H127" s="16"/>
    </row>
    <row r="128" spans="1:8" ht="16" x14ac:dyDescent="0.2">
      <c r="A128" s="13" t="s">
        <v>16</v>
      </c>
      <c r="B128" s="2" t="s">
        <v>13</v>
      </c>
      <c r="C128" s="2">
        <v>7</v>
      </c>
      <c r="D128" s="11">
        <v>3.95</v>
      </c>
      <c r="E128" s="18">
        <v>1.3</v>
      </c>
      <c r="F128" s="18">
        <f t="shared" si="3"/>
        <v>3.0384615384615383</v>
      </c>
      <c r="G128" s="17">
        <f t="shared" si="4"/>
        <v>10.938461538461539</v>
      </c>
      <c r="H128" s="16"/>
    </row>
    <row r="129" spans="1:8" ht="16" x14ac:dyDescent="0.2">
      <c r="A129" s="13" t="s">
        <v>16</v>
      </c>
      <c r="B129" s="2" t="s">
        <v>13</v>
      </c>
      <c r="C129" s="2">
        <v>8</v>
      </c>
      <c r="D129" s="11">
        <v>3.95</v>
      </c>
      <c r="E129" s="18">
        <v>1.28</v>
      </c>
      <c r="F129" s="18">
        <f t="shared" si="3"/>
        <v>3.0859375</v>
      </c>
      <c r="G129" s="17">
        <f t="shared" si="4"/>
        <v>11.109375</v>
      </c>
      <c r="H129" s="16"/>
    </row>
    <row r="130" spans="1:8" ht="16" x14ac:dyDescent="0.2">
      <c r="A130" s="13" t="s">
        <v>16</v>
      </c>
      <c r="B130" s="2" t="s">
        <v>13</v>
      </c>
      <c r="C130" s="2">
        <v>9</v>
      </c>
      <c r="D130" s="11">
        <v>3.95</v>
      </c>
      <c r="E130" s="18">
        <v>1.2</v>
      </c>
      <c r="F130" s="18">
        <f t="shared" si="3"/>
        <v>3.291666666666667</v>
      </c>
      <c r="G130" s="17">
        <f t="shared" si="4"/>
        <v>11.850000000000001</v>
      </c>
      <c r="H130" s="16"/>
    </row>
    <row r="131" spans="1:8" ht="16" x14ac:dyDescent="0.2">
      <c r="A131" s="13" t="s">
        <v>16</v>
      </c>
      <c r="B131" s="2" t="s">
        <v>13</v>
      </c>
      <c r="C131" s="2">
        <v>10</v>
      </c>
      <c r="D131" s="11">
        <v>3.95</v>
      </c>
      <c r="E131" s="18">
        <v>1.17</v>
      </c>
      <c r="F131" s="18">
        <f t="shared" si="3"/>
        <v>3.3760683760683765</v>
      </c>
      <c r="G131" s="17">
        <f t="shared" si="4"/>
        <v>12.153846153846155</v>
      </c>
      <c r="H131" s="16"/>
    </row>
    <row r="132" spans="1:8" ht="16" x14ac:dyDescent="0.2">
      <c r="A132" s="13" t="s">
        <v>17</v>
      </c>
      <c r="B132" s="2" t="s">
        <v>11</v>
      </c>
      <c r="C132" s="2">
        <v>1</v>
      </c>
      <c r="D132" s="11">
        <v>3.95</v>
      </c>
      <c r="E132" s="18">
        <v>2.61</v>
      </c>
      <c r="F132" s="18">
        <f t="shared" si="3"/>
        <v>1.5134099616858239</v>
      </c>
      <c r="G132" s="17">
        <f t="shared" si="4"/>
        <v>5.4482758620689662</v>
      </c>
      <c r="H132" s="16" t="s">
        <v>36</v>
      </c>
    </row>
    <row r="133" spans="1:8" ht="16" x14ac:dyDescent="0.2">
      <c r="A133" s="13" t="s">
        <v>17</v>
      </c>
      <c r="B133" s="2" t="s">
        <v>11</v>
      </c>
      <c r="C133" s="16">
        <v>2</v>
      </c>
      <c r="D133" s="18">
        <v>3.73</v>
      </c>
      <c r="E133" s="18">
        <v>2.44</v>
      </c>
      <c r="F133" s="18">
        <f t="shared" si="3"/>
        <v>1.528688524590164</v>
      </c>
      <c r="G133" s="17">
        <f t="shared" si="4"/>
        <v>5.503278688524591</v>
      </c>
      <c r="H133" s="16"/>
    </row>
    <row r="134" spans="1:8" ht="16" x14ac:dyDescent="0.2">
      <c r="A134" s="13" t="s">
        <v>17</v>
      </c>
      <c r="B134" s="2" t="s">
        <v>11</v>
      </c>
      <c r="C134" s="16">
        <v>3</v>
      </c>
      <c r="D134" s="18">
        <v>3.73</v>
      </c>
      <c r="E134" s="18">
        <v>2.63</v>
      </c>
      <c r="F134" s="18">
        <f t="shared" ref="F134:F163" si="5">D134/E134</f>
        <v>1.4182509505703422</v>
      </c>
      <c r="G134" s="17">
        <f t="shared" si="4"/>
        <v>5.1057034220532325</v>
      </c>
      <c r="H134" s="16"/>
    </row>
    <row r="135" spans="1:8" ht="16" x14ac:dyDescent="0.2">
      <c r="A135" s="13" t="s">
        <v>17</v>
      </c>
      <c r="B135" s="2" t="s">
        <v>11</v>
      </c>
      <c r="C135" s="16">
        <v>4</v>
      </c>
      <c r="D135" s="18">
        <v>3.73</v>
      </c>
      <c r="E135" s="18">
        <v>2.4700000000000002</v>
      </c>
      <c r="F135" s="18">
        <f t="shared" si="5"/>
        <v>1.5101214574898785</v>
      </c>
      <c r="G135" s="17">
        <f t="shared" si="4"/>
        <v>5.4364372469635622</v>
      </c>
      <c r="H135" s="16"/>
    </row>
    <row r="136" spans="1:8" ht="16" x14ac:dyDescent="0.2">
      <c r="A136" s="13" t="s">
        <v>17</v>
      </c>
      <c r="B136" s="2" t="s">
        <v>11</v>
      </c>
      <c r="C136" s="16">
        <v>5</v>
      </c>
      <c r="D136" s="18">
        <v>3.73</v>
      </c>
      <c r="E136" s="18">
        <v>2.46</v>
      </c>
      <c r="F136" s="18">
        <f t="shared" si="5"/>
        <v>1.5162601626016261</v>
      </c>
      <c r="G136" s="17">
        <f t="shared" si="4"/>
        <v>5.4585365853658541</v>
      </c>
      <c r="H136" s="16"/>
    </row>
    <row r="137" spans="1:8" ht="16" x14ac:dyDescent="0.2">
      <c r="A137" s="13" t="s">
        <v>17</v>
      </c>
      <c r="B137" s="2" t="s">
        <v>11</v>
      </c>
      <c r="C137" s="16">
        <v>6</v>
      </c>
      <c r="D137" s="18">
        <v>3.73</v>
      </c>
      <c r="E137" s="18">
        <v>2.4300000000000002</v>
      </c>
      <c r="F137" s="18">
        <f t="shared" si="5"/>
        <v>1.5349794238683125</v>
      </c>
      <c r="G137" s="17">
        <f t="shared" si="4"/>
        <v>5.5259259259259252</v>
      </c>
      <c r="H137" s="16"/>
    </row>
    <row r="138" spans="1:8" ht="16" x14ac:dyDescent="0.2">
      <c r="A138" s="13" t="s">
        <v>17</v>
      </c>
      <c r="B138" s="2" t="s">
        <v>11</v>
      </c>
      <c r="C138" s="16">
        <v>7</v>
      </c>
      <c r="D138" s="18">
        <v>3.73</v>
      </c>
      <c r="E138" s="18">
        <v>2.42</v>
      </c>
      <c r="F138" s="18">
        <f t="shared" si="5"/>
        <v>1.5413223140495869</v>
      </c>
      <c r="G138" s="17">
        <f t="shared" si="4"/>
        <v>5.5487603305785127</v>
      </c>
      <c r="H138" s="16"/>
    </row>
    <row r="139" spans="1:8" ht="16" x14ac:dyDescent="0.2">
      <c r="A139" s="13" t="s">
        <v>17</v>
      </c>
      <c r="B139" s="2" t="s">
        <v>11</v>
      </c>
      <c r="C139" s="16">
        <v>8</v>
      </c>
      <c r="D139" s="18">
        <v>3.73</v>
      </c>
      <c r="E139" s="18">
        <v>2.5099999999999998</v>
      </c>
      <c r="F139" s="18">
        <f t="shared" si="5"/>
        <v>1.4860557768924303</v>
      </c>
      <c r="G139" s="17">
        <f t="shared" si="4"/>
        <v>5.3498007968127492</v>
      </c>
      <c r="H139" s="16"/>
    </row>
    <row r="140" spans="1:8" ht="16" x14ac:dyDescent="0.2">
      <c r="A140" s="13" t="s">
        <v>17</v>
      </c>
      <c r="B140" s="2" t="s">
        <v>11</v>
      </c>
      <c r="C140" s="16">
        <v>9</v>
      </c>
      <c r="D140" s="18">
        <v>3.73</v>
      </c>
      <c r="E140" s="18">
        <v>2.4</v>
      </c>
      <c r="F140" s="18">
        <f t="shared" si="5"/>
        <v>1.5541666666666667</v>
      </c>
      <c r="G140" s="17">
        <f t="shared" si="4"/>
        <v>5.5950000000000006</v>
      </c>
      <c r="H140" s="16"/>
    </row>
    <row r="141" spans="1:8" ht="16" x14ac:dyDescent="0.2">
      <c r="A141" s="13" t="s">
        <v>17</v>
      </c>
      <c r="B141" s="2" t="s">
        <v>11</v>
      </c>
      <c r="C141" s="16">
        <v>10</v>
      </c>
      <c r="D141" s="18">
        <v>3.73</v>
      </c>
      <c r="E141" s="18">
        <v>2.4300000000000002</v>
      </c>
      <c r="F141" s="18">
        <f t="shared" si="5"/>
        <v>1.5349794238683125</v>
      </c>
      <c r="G141" s="17">
        <f t="shared" si="4"/>
        <v>5.5259259259259252</v>
      </c>
      <c r="H141" s="16"/>
    </row>
    <row r="142" spans="1:8" ht="16" x14ac:dyDescent="0.2">
      <c r="A142" s="13" t="s">
        <v>17</v>
      </c>
      <c r="B142" s="2" t="s">
        <v>11</v>
      </c>
      <c r="C142" s="16">
        <v>11</v>
      </c>
      <c r="D142" s="18">
        <v>3.73</v>
      </c>
      <c r="E142" s="18">
        <v>2.4300000000000002</v>
      </c>
      <c r="F142" s="18">
        <f t="shared" si="5"/>
        <v>1.5349794238683125</v>
      </c>
      <c r="G142" s="17">
        <f t="shared" si="4"/>
        <v>5.5259259259259252</v>
      </c>
      <c r="H142" s="16"/>
    </row>
    <row r="143" spans="1:8" ht="16" x14ac:dyDescent="0.2">
      <c r="A143" s="13" t="s">
        <v>17</v>
      </c>
      <c r="B143" s="2" t="s">
        <v>12</v>
      </c>
      <c r="C143" s="2">
        <v>1</v>
      </c>
      <c r="D143" s="18">
        <v>3.73</v>
      </c>
      <c r="E143" s="18">
        <v>1.33</v>
      </c>
      <c r="F143" s="18">
        <f t="shared" si="5"/>
        <v>2.8045112781954886</v>
      </c>
      <c r="G143" s="17">
        <f t="shared" si="4"/>
        <v>10.096240601503759</v>
      </c>
      <c r="H143" s="16"/>
    </row>
    <row r="144" spans="1:8" ht="16" x14ac:dyDescent="0.2">
      <c r="A144" s="13" t="s">
        <v>17</v>
      </c>
      <c r="B144" s="2" t="s">
        <v>12</v>
      </c>
      <c r="C144" s="2">
        <v>2</v>
      </c>
      <c r="D144" s="18">
        <v>3.73</v>
      </c>
      <c r="E144" s="18">
        <v>1.35</v>
      </c>
      <c r="F144" s="18">
        <f t="shared" si="5"/>
        <v>2.7629629629629626</v>
      </c>
      <c r="G144" s="17">
        <f t="shared" si="4"/>
        <v>9.9466666666666654</v>
      </c>
      <c r="H144" s="16"/>
    </row>
    <row r="145" spans="1:8" ht="16" x14ac:dyDescent="0.2">
      <c r="A145" s="13" t="s">
        <v>17</v>
      </c>
      <c r="B145" s="2" t="s">
        <v>12</v>
      </c>
      <c r="C145" s="2">
        <v>3</v>
      </c>
      <c r="D145" s="18">
        <v>3.73</v>
      </c>
      <c r="E145" s="18">
        <v>1.28</v>
      </c>
      <c r="F145" s="18">
        <f t="shared" si="5"/>
        <v>2.9140625</v>
      </c>
      <c r="G145" s="17">
        <f t="shared" si="4"/>
        <v>10.490625</v>
      </c>
      <c r="H145" s="16"/>
    </row>
    <row r="146" spans="1:8" ht="16" x14ac:dyDescent="0.2">
      <c r="A146" s="13" t="s">
        <v>17</v>
      </c>
      <c r="B146" s="2" t="s">
        <v>12</v>
      </c>
      <c r="C146" s="2">
        <v>4</v>
      </c>
      <c r="D146" s="18">
        <v>3.73</v>
      </c>
      <c r="E146" s="18">
        <v>1.4</v>
      </c>
      <c r="F146" s="18">
        <f t="shared" si="5"/>
        <v>2.6642857142857146</v>
      </c>
      <c r="G146" s="17">
        <f t="shared" si="4"/>
        <v>9.5914285714285725</v>
      </c>
      <c r="H146" s="16"/>
    </row>
    <row r="147" spans="1:8" ht="16" x14ac:dyDescent="0.2">
      <c r="A147" s="13" t="s">
        <v>17</v>
      </c>
      <c r="B147" s="2" t="s">
        <v>12</v>
      </c>
      <c r="C147" s="2">
        <v>5</v>
      </c>
      <c r="D147" s="18">
        <v>3.73</v>
      </c>
      <c r="E147" s="18">
        <v>1.32</v>
      </c>
      <c r="F147" s="18">
        <f t="shared" si="5"/>
        <v>2.8257575757575757</v>
      </c>
      <c r="G147" s="17">
        <f t="shared" si="4"/>
        <v>10.172727272727272</v>
      </c>
      <c r="H147" s="16"/>
    </row>
    <row r="148" spans="1:8" ht="16" x14ac:dyDescent="0.2">
      <c r="A148" s="13" t="s">
        <v>17</v>
      </c>
      <c r="B148" s="2" t="s">
        <v>12</v>
      </c>
      <c r="C148" s="2">
        <v>6</v>
      </c>
      <c r="D148" s="18">
        <v>3.73</v>
      </c>
      <c r="E148" s="18">
        <v>1.3</v>
      </c>
      <c r="F148" s="18">
        <f t="shared" si="5"/>
        <v>2.8692307692307693</v>
      </c>
      <c r="G148" s="17">
        <f t="shared" si="4"/>
        <v>10.329230769230769</v>
      </c>
      <c r="H148" s="16"/>
    </row>
    <row r="149" spans="1:8" ht="16" x14ac:dyDescent="0.2">
      <c r="A149" s="13" t="s">
        <v>17</v>
      </c>
      <c r="B149" s="2" t="s">
        <v>12</v>
      </c>
      <c r="C149" s="2">
        <v>7</v>
      </c>
      <c r="D149" s="18">
        <v>3.73</v>
      </c>
      <c r="E149" s="18">
        <v>1.29</v>
      </c>
      <c r="F149" s="18">
        <f t="shared" si="5"/>
        <v>2.8914728682170541</v>
      </c>
      <c r="G149" s="17">
        <f t="shared" si="4"/>
        <v>10.409302325581395</v>
      </c>
      <c r="H149" s="16"/>
    </row>
    <row r="150" spans="1:8" ht="16" x14ac:dyDescent="0.2">
      <c r="A150" s="13" t="s">
        <v>17</v>
      </c>
      <c r="B150" s="2" t="s">
        <v>12</v>
      </c>
      <c r="C150" s="2">
        <v>8</v>
      </c>
      <c r="D150" s="18">
        <v>3.73</v>
      </c>
      <c r="E150" s="18">
        <v>1.31</v>
      </c>
      <c r="F150" s="18">
        <f t="shared" si="5"/>
        <v>2.8473282442748089</v>
      </c>
      <c r="G150" s="17">
        <f t="shared" si="4"/>
        <v>10.250381679389312</v>
      </c>
      <c r="H150" s="16"/>
    </row>
    <row r="151" spans="1:8" ht="16" x14ac:dyDescent="0.2">
      <c r="A151" s="13" t="s">
        <v>17</v>
      </c>
      <c r="B151" s="2" t="s">
        <v>12</v>
      </c>
      <c r="C151" s="2">
        <v>9</v>
      </c>
      <c r="D151" s="18">
        <v>3.73</v>
      </c>
      <c r="E151" s="18">
        <v>1.28</v>
      </c>
      <c r="F151" s="18">
        <f t="shared" si="5"/>
        <v>2.9140625</v>
      </c>
      <c r="G151" s="17">
        <f t="shared" si="4"/>
        <v>10.490625</v>
      </c>
      <c r="H151" s="16"/>
    </row>
    <row r="152" spans="1:8" ht="16" x14ac:dyDescent="0.2">
      <c r="A152" s="13" t="s">
        <v>17</v>
      </c>
      <c r="B152" s="2" t="s">
        <v>12</v>
      </c>
      <c r="C152" s="2">
        <v>10</v>
      </c>
      <c r="D152" s="18">
        <v>3.73</v>
      </c>
      <c r="E152" s="18">
        <v>1.35</v>
      </c>
      <c r="F152" s="18">
        <f t="shared" si="5"/>
        <v>2.7629629629629626</v>
      </c>
      <c r="G152" s="17">
        <f t="shared" si="4"/>
        <v>9.9466666666666654</v>
      </c>
      <c r="H152" s="16"/>
    </row>
    <row r="153" spans="1:8" ht="16" x14ac:dyDescent="0.2">
      <c r="A153" s="13" t="s">
        <v>17</v>
      </c>
      <c r="B153" s="2" t="s">
        <v>13</v>
      </c>
      <c r="C153" s="2">
        <v>1</v>
      </c>
      <c r="D153" s="18">
        <v>3.73</v>
      </c>
      <c r="E153" s="18">
        <v>1.1100000000000001</v>
      </c>
      <c r="F153" s="18">
        <f t="shared" si="5"/>
        <v>3.3603603603603602</v>
      </c>
      <c r="G153" s="17">
        <f t="shared" si="4"/>
        <v>12.097297297297297</v>
      </c>
      <c r="H153" s="16"/>
    </row>
    <row r="154" spans="1:8" ht="16" x14ac:dyDescent="0.2">
      <c r="A154" s="13" t="s">
        <v>17</v>
      </c>
      <c r="B154" s="2" t="s">
        <v>13</v>
      </c>
      <c r="C154" s="2">
        <v>2</v>
      </c>
      <c r="D154" s="18">
        <v>3.73</v>
      </c>
      <c r="E154" s="18">
        <v>1</v>
      </c>
      <c r="F154" s="18">
        <f t="shared" si="5"/>
        <v>3.73</v>
      </c>
      <c r="G154" s="17">
        <f t="shared" si="4"/>
        <v>13.428000000000001</v>
      </c>
      <c r="H154" s="16"/>
    </row>
    <row r="155" spans="1:8" ht="16" x14ac:dyDescent="0.2">
      <c r="A155" s="13" t="s">
        <v>17</v>
      </c>
      <c r="B155" s="2" t="s">
        <v>13</v>
      </c>
      <c r="C155" s="2">
        <v>3</v>
      </c>
      <c r="D155" s="18">
        <v>3.73</v>
      </c>
      <c r="E155" s="18">
        <v>1.1399999999999999</v>
      </c>
      <c r="F155" s="18">
        <f t="shared" si="5"/>
        <v>3.2719298245614037</v>
      </c>
      <c r="G155" s="17">
        <f t="shared" si="4"/>
        <v>11.778947368421054</v>
      </c>
      <c r="H155" s="16"/>
    </row>
    <row r="156" spans="1:8" ht="16" x14ac:dyDescent="0.2">
      <c r="A156" s="13" t="s">
        <v>17</v>
      </c>
      <c r="B156" s="2" t="s">
        <v>13</v>
      </c>
      <c r="C156" s="2">
        <v>4</v>
      </c>
      <c r="D156" s="18">
        <v>3.73</v>
      </c>
      <c r="E156" s="18">
        <v>1.1100000000000001</v>
      </c>
      <c r="F156" s="18">
        <f t="shared" si="5"/>
        <v>3.3603603603603602</v>
      </c>
      <c r="G156" s="17">
        <f t="shared" si="4"/>
        <v>12.097297297297297</v>
      </c>
      <c r="H156" s="16"/>
    </row>
    <row r="157" spans="1:8" ht="16" x14ac:dyDescent="0.2">
      <c r="A157" s="13" t="s">
        <v>17</v>
      </c>
      <c r="B157" s="2" t="s">
        <v>13</v>
      </c>
      <c r="C157" s="2">
        <v>5</v>
      </c>
      <c r="D157" s="18">
        <v>3.73</v>
      </c>
      <c r="E157" s="18">
        <v>1.04</v>
      </c>
      <c r="F157" s="18">
        <f t="shared" si="5"/>
        <v>3.5865384615384612</v>
      </c>
      <c r="G157" s="17">
        <f t="shared" si="4"/>
        <v>12.911538461538461</v>
      </c>
      <c r="H157" s="16"/>
    </row>
    <row r="158" spans="1:8" ht="16" x14ac:dyDescent="0.2">
      <c r="A158" s="13" t="s">
        <v>17</v>
      </c>
      <c r="B158" s="2" t="s">
        <v>13</v>
      </c>
      <c r="C158" s="2">
        <v>6</v>
      </c>
      <c r="D158" s="18">
        <v>3.73</v>
      </c>
      <c r="E158" s="18">
        <v>0.92</v>
      </c>
      <c r="F158" s="18">
        <f t="shared" si="5"/>
        <v>4.0543478260869561</v>
      </c>
      <c r="G158" s="17">
        <f t="shared" si="4"/>
        <v>14.595652173913042</v>
      </c>
      <c r="H158" s="16"/>
    </row>
    <row r="159" spans="1:8" ht="16" x14ac:dyDescent="0.2">
      <c r="A159" s="13" t="s">
        <v>17</v>
      </c>
      <c r="B159" s="2" t="s">
        <v>13</v>
      </c>
      <c r="C159" s="2">
        <v>7</v>
      </c>
      <c r="D159" s="18">
        <v>3.73</v>
      </c>
      <c r="E159" s="18">
        <v>0.98</v>
      </c>
      <c r="F159" s="18">
        <f t="shared" si="5"/>
        <v>3.806122448979592</v>
      </c>
      <c r="G159" s="17">
        <f t="shared" si="4"/>
        <v>13.702040816326532</v>
      </c>
      <c r="H159" s="16"/>
    </row>
    <row r="160" spans="1:8" ht="16" x14ac:dyDescent="0.2">
      <c r="A160" s="13" t="s">
        <v>17</v>
      </c>
      <c r="B160" s="2" t="s">
        <v>13</v>
      </c>
      <c r="C160" s="2">
        <v>8</v>
      </c>
      <c r="D160" s="18">
        <v>3.73</v>
      </c>
      <c r="E160" s="18">
        <v>0.95</v>
      </c>
      <c r="F160" s="18">
        <f t="shared" si="5"/>
        <v>3.9263157894736844</v>
      </c>
      <c r="G160" s="17">
        <f t="shared" si="4"/>
        <v>14.134736842105264</v>
      </c>
      <c r="H160" s="16"/>
    </row>
    <row r="161" spans="1:8" ht="16" x14ac:dyDescent="0.2">
      <c r="A161" s="13" t="s">
        <v>17</v>
      </c>
      <c r="B161" s="2" t="s">
        <v>13</v>
      </c>
      <c r="C161" s="2">
        <v>9</v>
      </c>
      <c r="D161" s="18">
        <v>3.73</v>
      </c>
      <c r="E161" s="18">
        <v>1.04</v>
      </c>
      <c r="F161" s="18">
        <f t="shared" si="5"/>
        <v>3.5865384615384612</v>
      </c>
      <c r="G161" s="17">
        <f t="shared" si="4"/>
        <v>12.911538461538461</v>
      </c>
      <c r="H161" s="16"/>
    </row>
    <row r="162" spans="1:8" ht="16" x14ac:dyDescent="0.2">
      <c r="A162" s="13" t="s">
        <v>17</v>
      </c>
      <c r="B162" s="2" t="s">
        <v>13</v>
      </c>
      <c r="C162" s="2">
        <v>10</v>
      </c>
      <c r="D162" s="18">
        <v>3.73</v>
      </c>
      <c r="E162" s="18">
        <v>1</v>
      </c>
      <c r="F162" s="18">
        <f t="shared" si="5"/>
        <v>3.73</v>
      </c>
      <c r="G162" s="17">
        <f t="shared" si="4"/>
        <v>13.428000000000001</v>
      </c>
      <c r="H162" s="16"/>
    </row>
    <row r="163" spans="1:8" ht="16" x14ac:dyDescent="0.2">
      <c r="A163" s="13" t="s">
        <v>17</v>
      </c>
      <c r="B163" s="2" t="s">
        <v>13</v>
      </c>
      <c r="C163" s="2">
        <v>11</v>
      </c>
      <c r="D163" s="18">
        <v>3.73</v>
      </c>
      <c r="E163" s="18">
        <v>0.96</v>
      </c>
      <c r="F163" s="18">
        <f t="shared" si="5"/>
        <v>3.885416666666667</v>
      </c>
      <c r="G163" s="17">
        <f t="shared" si="4"/>
        <v>13.987500000000001</v>
      </c>
      <c r="H163" s="16"/>
    </row>
    <row r="164" spans="1:8" ht="16" x14ac:dyDescent="0.2">
      <c r="A164" s="13" t="s">
        <v>18</v>
      </c>
      <c r="B164" s="2" t="s">
        <v>11</v>
      </c>
      <c r="C164" s="2">
        <v>1</v>
      </c>
      <c r="D164" s="11">
        <v>3.95</v>
      </c>
      <c r="E164" s="18">
        <v>2.76</v>
      </c>
      <c r="F164" s="18">
        <f t="shared" ref="F164:F184" si="6">D164/E164</f>
        <v>1.4311594202898552</v>
      </c>
      <c r="G164" s="17">
        <f t="shared" si="4"/>
        <v>5.1521739130434785</v>
      </c>
      <c r="H164" s="16" t="s">
        <v>37</v>
      </c>
    </row>
    <row r="165" spans="1:8" ht="16" x14ac:dyDescent="0.2">
      <c r="A165" s="13" t="s">
        <v>18</v>
      </c>
      <c r="B165" s="2" t="s">
        <v>11</v>
      </c>
      <c r="C165" s="2">
        <v>2</v>
      </c>
      <c r="D165" s="11">
        <v>3.95</v>
      </c>
      <c r="E165" s="18">
        <v>3.3</v>
      </c>
      <c r="F165" s="18">
        <f t="shared" si="6"/>
        <v>1.196969696969697</v>
      </c>
      <c r="G165" s="17">
        <f t="shared" si="4"/>
        <v>4.3090909090909095</v>
      </c>
      <c r="H165" s="16"/>
    </row>
    <row r="166" spans="1:8" ht="16" x14ac:dyDescent="0.2">
      <c r="A166" s="13" t="s">
        <v>18</v>
      </c>
      <c r="B166" s="2" t="s">
        <v>11</v>
      </c>
      <c r="C166" s="2">
        <v>3</v>
      </c>
      <c r="D166" s="11">
        <v>3.95</v>
      </c>
      <c r="E166" s="18">
        <v>2.73</v>
      </c>
      <c r="F166" s="18">
        <f t="shared" si="6"/>
        <v>1.4468864468864469</v>
      </c>
      <c r="G166" s="17">
        <f t="shared" ref="G166:G229" si="7">F166*3.6</f>
        <v>5.2087912087912089</v>
      </c>
      <c r="H166" s="16"/>
    </row>
    <row r="167" spans="1:8" ht="16" x14ac:dyDescent="0.2">
      <c r="A167" s="13" t="s">
        <v>18</v>
      </c>
      <c r="B167" s="2" t="s">
        <v>11</v>
      </c>
      <c r="C167" s="2">
        <v>4</v>
      </c>
      <c r="D167" s="11">
        <v>3.95</v>
      </c>
      <c r="E167" s="18">
        <v>3.26</v>
      </c>
      <c r="F167" s="18">
        <f t="shared" si="6"/>
        <v>1.2116564417177915</v>
      </c>
      <c r="G167" s="17">
        <f t="shared" si="7"/>
        <v>4.3619631901840492</v>
      </c>
      <c r="H167" s="16"/>
    </row>
    <row r="168" spans="1:8" ht="16" x14ac:dyDescent="0.2">
      <c r="A168" s="13" t="s">
        <v>18</v>
      </c>
      <c r="B168" s="2" t="s">
        <v>11</v>
      </c>
      <c r="C168" s="2">
        <v>5</v>
      </c>
      <c r="D168" s="11">
        <v>3.95</v>
      </c>
      <c r="E168" s="18">
        <v>3.03</v>
      </c>
      <c r="F168" s="18">
        <f t="shared" si="6"/>
        <v>1.3036303630363038</v>
      </c>
      <c r="G168" s="17">
        <f t="shared" si="7"/>
        <v>4.6930693069306937</v>
      </c>
      <c r="H168" s="16"/>
    </row>
    <row r="169" spans="1:8" ht="16" x14ac:dyDescent="0.2">
      <c r="A169" s="13" t="s">
        <v>18</v>
      </c>
      <c r="B169" s="2" t="s">
        <v>11</v>
      </c>
      <c r="C169" s="2">
        <v>6</v>
      </c>
      <c r="D169" s="11">
        <v>3.95</v>
      </c>
      <c r="E169" s="18">
        <v>3</v>
      </c>
      <c r="F169" s="18">
        <f t="shared" si="6"/>
        <v>1.3166666666666667</v>
      </c>
      <c r="G169" s="17">
        <f t="shared" si="7"/>
        <v>4.74</v>
      </c>
      <c r="H169" s="16"/>
    </row>
    <row r="170" spans="1:8" ht="16" x14ac:dyDescent="0.2">
      <c r="A170" s="13" t="s">
        <v>18</v>
      </c>
      <c r="B170" s="2" t="s">
        <v>11</v>
      </c>
      <c r="C170" s="2">
        <v>7</v>
      </c>
      <c r="D170" s="11">
        <v>3.95</v>
      </c>
      <c r="E170" s="18">
        <v>3.29</v>
      </c>
      <c r="F170" s="18">
        <f t="shared" si="6"/>
        <v>1.2006079027355623</v>
      </c>
      <c r="G170" s="17">
        <f t="shared" si="7"/>
        <v>4.3221884498480243</v>
      </c>
      <c r="H170" s="16"/>
    </row>
    <row r="171" spans="1:8" ht="16" x14ac:dyDescent="0.2">
      <c r="A171" s="13" t="s">
        <v>18</v>
      </c>
      <c r="B171" s="2" t="s">
        <v>11</v>
      </c>
      <c r="C171" s="2">
        <v>8</v>
      </c>
      <c r="D171" s="11">
        <v>3.95</v>
      </c>
      <c r="E171" s="18">
        <v>2.71</v>
      </c>
      <c r="F171" s="18">
        <f t="shared" si="6"/>
        <v>1.4575645756457565</v>
      </c>
      <c r="G171" s="17">
        <f t="shared" si="7"/>
        <v>5.2472324723247237</v>
      </c>
      <c r="H171" s="16"/>
    </row>
    <row r="172" spans="1:8" ht="16" x14ac:dyDescent="0.2">
      <c r="A172" s="13" t="s">
        <v>18</v>
      </c>
      <c r="B172" s="2" t="s">
        <v>11</v>
      </c>
      <c r="C172" s="2">
        <v>9</v>
      </c>
      <c r="D172" s="11">
        <v>3.95</v>
      </c>
      <c r="E172" s="18">
        <v>3.37</v>
      </c>
      <c r="F172" s="18">
        <f t="shared" si="6"/>
        <v>1.172106824925816</v>
      </c>
      <c r="G172" s="17">
        <f t="shared" si="7"/>
        <v>4.2195845697329375</v>
      </c>
      <c r="H172" s="16"/>
    </row>
    <row r="173" spans="1:8" ht="16" x14ac:dyDescent="0.2">
      <c r="A173" s="13" t="s">
        <v>18</v>
      </c>
      <c r="B173" s="2" t="s">
        <v>11</v>
      </c>
      <c r="C173" s="2">
        <v>10</v>
      </c>
      <c r="D173" s="11">
        <v>3.95</v>
      </c>
      <c r="E173" s="18">
        <v>3.25</v>
      </c>
      <c r="F173" s="18">
        <f t="shared" si="6"/>
        <v>1.2153846153846155</v>
      </c>
      <c r="G173" s="17">
        <f t="shared" si="7"/>
        <v>4.3753846153846156</v>
      </c>
      <c r="H173" s="16"/>
    </row>
    <row r="174" spans="1:8" ht="16" x14ac:dyDescent="0.2">
      <c r="A174" s="13" t="s">
        <v>18</v>
      </c>
      <c r="B174" s="2" t="s">
        <v>12</v>
      </c>
      <c r="C174" s="2">
        <v>1</v>
      </c>
      <c r="D174" s="11">
        <v>3.95</v>
      </c>
      <c r="E174" s="18">
        <v>1.58</v>
      </c>
      <c r="F174" s="18">
        <f t="shared" si="6"/>
        <v>2.5</v>
      </c>
      <c r="G174" s="17">
        <f t="shared" si="7"/>
        <v>9</v>
      </c>
      <c r="H174" s="16"/>
    </row>
    <row r="175" spans="1:8" ht="16" x14ac:dyDescent="0.2">
      <c r="A175" s="13" t="s">
        <v>18</v>
      </c>
      <c r="B175" s="2" t="s">
        <v>12</v>
      </c>
      <c r="C175" s="2">
        <v>2</v>
      </c>
      <c r="D175" s="11">
        <v>3.95</v>
      </c>
      <c r="E175" s="18">
        <v>1.66</v>
      </c>
      <c r="F175" s="18">
        <f t="shared" si="6"/>
        <v>2.3795180722891569</v>
      </c>
      <c r="G175" s="17">
        <f t="shared" si="7"/>
        <v>8.5662650602409656</v>
      </c>
      <c r="H175" s="16"/>
    </row>
    <row r="176" spans="1:8" ht="16" x14ac:dyDescent="0.2">
      <c r="A176" s="13" t="s">
        <v>18</v>
      </c>
      <c r="B176" s="2" t="s">
        <v>12</v>
      </c>
      <c r="C176" s="2">
        <v>3</v>
      </c>
      <c r="D176" s="11">
        <v>3.95</v>
      </c>
      <c r="E176" s="18">
        <v>1.5</v>
      </c>
      <c r="F176" s="18">
        <f t="shared" si="6"/>
        <v>2.6333333333333333</v>
      </c>
      <c r="G176" s="17">
        <f t="shared" si="7"/>
        <v>9.48</v>
      </c>
      <c r="H176" s="16"/>
    </row>
    <row r="177" spans="1:8" ht="16" x14ac:dyDescent="0.2">
      <c r="A177" s="13" t="s">
        <v>18</v>
      </c>
      <c r="B177" s="2" t="s">
        <v>12</v>
      </c>
      <c r="C177" s="2">
        <v>4</v>
      </c>
      <c r="D177" s="11">
        <v>3.95</v>
      </c>
      <c r="E177" s="18">
        <v>1.71</v>
      </c>
      <c r="F177" s="18">
        <f t="shared" si="6"/>
        <v>2.3099415204678366</v>
      </c>
      <c r="G177" s="17">
        <f t="shared" si="7"/>
        <v>8.3157894736842124</v>
      </c>
      <c r="H177" s="16"/>
    </row>
    <row r="178" spans="1:8" ht="16" x14ac:dyDescent="0.2">
      <c r="A178" s="13" t="s">
        <v>18</v>
      </c>
      <c r="B178" s="2" t="s">
        <v>12</v>
      </c>
      <c r="C178" s="2">
        <v>5</v>
      </c>
      <c r="D178" s="11">
        <v>3.95</v>
      </c>
      <c r="E178" s="18">
        <v>1.68</v>
      </c>
      <c r="F178" s="18">
        <f t="shared" si="6"/>
        <v>2.3511904761904763</v>
      </c>
      <c r="G178" s="17">
        <f t="shared" si="7"/>
        <v>8.4642857142857153</v>
      </c>
      <c r="H178" s="16"/>
    </row>
    <row r="179" spans="1:8" ht="16" x14ac:dyDescent="0.2">
      <c r="A179" s="13" t="s">
        <v>18</v>
      </c>
      <c r="B179" s="2" t="s">
        <v>12</v>
      </c>
      <c r="C179" s="2">
        <v>6</v>
      </c>
      <c r="D179" s="11">
        <v>3.95</v>
      </c>
      <c r="E179" s="18">
        <v>1.62</v>
      </c>
      <c r="F179" s="18">
        <f t="shared" si="6"/>
        <v>2.4382716049382718</v>
      </c>
      <c r="G179" s="17">
        <f t="shared" si="7"/>
        <v>8.7777777777777786</v>
      </c>
      <c r="H179" s="16"/>
    </row>
    <row r="180" spans="1:8" ht="16" x14ac:dyDescent="0.2">
      <c r="A180" s="13" t="s">
        <v>18</v>
      </c>
      <c r="B180" s="2" t="s">
        <v>12</v>
      </c>
      <c r="C180" s="2">
        <v>7</v>
      </c>
      <c r="D180" s="11">
        <v>3.95</v>
      </c>
      <c r="E180" s="18">
        <v>1.72</v>
      </c>
      <c r="F180" s="18">
        <f t="shared" si="6"/>
        <v>2.2965116279069768</v>
      </c>
      <c r="G180" s="17">
        <f t="shared" si="7"/>
        <v>8.2674418604651176</v>
      </c>
      <c r="H180" s="16"/>
    </row>
    <row r="181" spans="1:8" ht="16" x14ac:dyDescent="0.2">
      <c r="A181" s="13" t="s">
        <v>18</v>
      </c>
      <c r="B181" s="2" t="s">
        <v>12</v>
      </c>
      <c r="C181" s="2">
        <v>8</v>
      </c>
      <c r="D181" s="11">
        <v>3.95</v>
      </c>
      <c r="E181" s="18">
        <v>1.62</v>
      </c>
      <c r="F181" s="18">
        <f t="shared" si="6"/>
        <v>2.4382716049382718</v>
      </c>
      <c r="G181" s="17">
        <f t="shared" si="7"/>
        <v>8.7777777777777786</v>
      </c>
      <c r="H181" s="16"/>
    </row>
    <row r="182" spans="1:8" ht="16" x14ac:dyDescent="0.2">
      <c r="A182" s="13" t="s">
        <v>18</v>
      </c>
      <c r="B182" s="2" t="s">
        <v>12</v>
      </c>
      <c r="C182" s="2">
        <v>9</v>
      </c>
      <c r="D182" s="11">
        <v>3.95</v>
      </c>
      <c r="E182" s="18">
        <v>1.76</v>
      </c>
      <c r="F182" s="18">
        <f t="shared" si="6"/>
        <v>2.2443181818181821</v>
      </c>
      <c r="G182" s="17">
        <f t="shared" si="7"/>
        <v>8.079545454545455</v>
      </c>
      <c r="H182" s="16"/>
    </row>
    <row r="183" spans="1:8" ht="16" x14ac:dyDescent="0.2">
      <c r="A183" s="13" t="s">
        <v>18</v>
      </c>
      <c r="B183" s="2" t="s">
        <v>12</v>
      </c>
      <c r="C183" s="2">
        <v>10</v>
      </c>
      <c r="D183" s="11">
        <v>3.95</v>
      </c>
      <c r="E183" s="18">
        <v>1.69</v>
      </c>
      <c r="F183" s="18">
        <f t="shared" si="6"/>
        <v>2.3372781065088759</v>
      </c>
      <c r="G183" s="17">
        <f t="shared" si="7"/>
        <v>8.4142011834319543</v>
      </c>
      <c r="H183" s="16"/>
    </row>
    <row r="184" spans="1:8" ht="16" x14ac:dyDescent="0.2">
      <c r="A184" s="13" t="s">
        <v>18</v>
      </c>
      <c r="B184" s="2" t="s">
        <v>13</v>
      </c>
      <c r="C184" s="2">
        <v>1</v>
      </c>
      <c r="D184" s="11">
        <v>3.95</v>
      </c>
      <c r="E184" s="18">
        <v>1.33</v>
      </c>
      <c r="F184" s="18">
        <f t="shared" si="6"/>
        <v>2.969924812030075</v>
      </c>
      <c r="G184" s="17">
        <f t="shared" si="7"/>
        <v>10.69172932330827</v>
      </c>
      <c r="H184" s="16"/>
    </row>
    <row r="185" spans="1:8" ht="16" x14ac:dyDescent="0.2">
      <c r="A185" s="13" t="s">
        <v>18</v>
      </c>
      <c r="B185" s="2" t="s">
        <v>13</v>
      </c>
      <c r="C185" s="2">
        <v>2</v>
      </c>
      <c r="D185" s="11">
        <v>3.95</v>
      </c>
      <c r="E185" s="18">
        <v>1.33</v>
      </c>
      <c r="F185" s="18">
        <f t="shared" ref="F185:F216" si="8">D185/E185</f>
        <v>2.969924812030075</v>
      </c>
      <c r="G185" s="17">
        <f t="shared" si="7"/>
        <v>10.69172932330827</v>
      </c>
      <c r="H185" s="16"/>
    </row>
    <row r="186" spans="1:8" ht="16" x14ac:dyDescent="0.2">
      <c r="A186" s="13" t="s">
        <v>18</v>
      </c>
      <c r="B186" s="2" t="s">
        <v>13</v>
      </c>
      <c r="C186" s="2">
        <v>3</v>
      </c>
      <c r="D186" s="11">
        <v>3.95</v>
      </c>
      <c r="E186" s="18">
        <v>1.36</v>
      </c>
      <c r="F186" s="18">
        <f t="shared" si="8"/>
        <v>2.9044117647058822</v>
      </c>
      <c r="G186" s="17">
        <f t="shared" si="7"/>
        <v>10.455882352941176</v>
      </c>
      <c r="H186" s="16"/>
    </row>
    <row r="187" spans="1:8" ht="16" x14ac:dyDescent="0.2">
      <c r="A187" s="13" t="s">
        <v>18</v>
      </c>
      <c r="B187" s="2" t="s">
        <v>13</v>
      </c>
      <c r="C187" s="2">
        <v>4</v>
      </c>
      <c r="D187" s="11">
        <v>3.95</v>
      </c>
      <c r="E187" s="18">
        <v>1.3</v>
      </c>
      <c r="F187" s="18">
        <f t="shared" si="8"/>
        <v>3.0384615384615383</v>
      </c>
      <c r="G187" s="17">
        <f t="shared" si="7"/>
        <v>10.938461538461539</v>
      </c>
      <c r="H187" s="16"/>
    </row>
    <row r="188" spans="1:8" ht="16" x14ac:dyDescent="0.2">
      <c r="A188" s="13" t="s">
        <v>18</v>
      </c>
      <c r="B188" s="2" t="s">
        <v>13</v>
      </c>
      <c r="C188" s="2">
        <v>5</v>
      </c>
      <c r="D188" s="11">
        <v>3.95</v>
      </c>
      <c r="E188" s="18">
        <v>1.3</v>
      </c>
      <c r="F188" s="18">
        <f t="shared" si="8"/>
        <v>3.0384615384615383</v>
      </c>
      <c r="G188" s="17">
        <f t="shared" si="7"/>
        <v>10.938461538461539</v>
      </c>
      <c r="H188" s="16"/>
    </row>
    <row r="189" spans="1:8" ht="16" x14ac:dyDescent="0.2">
      <c r="A189" s="13" t="s">
        <v>18</v>
      </c>
      <c r="B189" s="2" t="s">
        <v>13</v>
      </c>
      <c r="C189" s="2">
        <v>6</v>
      </c>
      <c r="D189" s="11">
        <v>3.95</v>
      </c>
      <c r="E189" s="18">
        <v>1.31</v>
      </c>
      <c r="F189" s="18">
        <f t="shared" si="8"/>
        <v>3.0152671755725189</v>
      </c>
      <c r="G189" s="17">
        <f t="shared" si="7"/>
        <v>10.854961832061068</v>
      </c>
      <c r="H189" s="16"/>
    </row>
    <row r="190" spans="1:8" ht="16" x14ac:dyDescent="0.2">
      <c r="A190" s="13" t="s">
        <v>18</v>
      </c>
      <c r="B190" s="2" t="s">
        <v>13</v>
      </c>
      <c r="C190" s="2">
        <v>7</v>
      </c>
      <c r="D190" s="11">
        <v>3.95</v>
      </c>
      <c r="E190" s="18">
        <v>1.3</v>
      </c>
      <c r="F190" s="18">
        <f t="shared" si="8"/>
        <v>3.0384615384615383</v>
      </c>
      <c r="G190" s="17">
        <f t="shared" si="7"/>
        <v>10.938461538461539</v>
      </c>
      <c r="H190" s="16"/>
    </row>
    <row r="191" spans="1:8" ht="16" x14ac:dyDescent="0.2">
      <c r="A191" s="13" t="s">
        <v>18</v>
      </c>
      <c r="B191" s="2" t="s">
        <v>13</v>
      </c>
      <c r="C191" s="2">
        <v>8</v>
      </c>
      <c r="D191" s="11">
        <v>3.95</v>
      </c>
      <c r="E191" s="18">
        <v>1.3</v>
      </c>
      <c r="F191" s="18">
        <f t="shared" si="8"/>
        <v>3.0384615384615383</v>
      </c>
      <c r="G191" s="17">
        <f t="shared" si="7"/>
        <v>10.938461538461539</v>
      </c>
      <c r="H191" s="16"/>
    </row>
    <row r="192" spans="1:8" ht="16" x14ac:dyDescent="0.2">
      <c r="A192" s="13" t="s">
        <v>18</v>
      </c>
      <c r="B192" s="2" t="s">
        <v>13</v>
      </c>
      <c r="C192" s="2">
        <v>9</v>
      </c>
      <c r="D192" s="11">
        <v>3.95</v>
      </c>
      <c r="E192" s="18">
        <v>1.26</v>
      </c>
      <c r="F192" s="18">
        <f t="shared" si="8"/>
        <v>3.1349206349206349</v>
      </c>
      <c r="G192" s="17">
        <f t="shared" si="7"/>
        <v>11.285714285714286</v>
      </c>
      <c r="H192" s="16"/>
    </row>
    <row r="193" spans="1:8" ht="16" x14ac:dyDescent="0.2">
      <c r="A193" s="13" t="s">
        <v>18</v>
      </c>
      <c r="B193" s="2" t="s">
        <v>13</v>
      </c>
      <c r="C193" s="2">
        <v>10</v>
      </c>
      <c r="D193" s="11">
        <v>3.95</v>
      </c>
      <c r="E193" s="18">
        <v>1.26</v>
      </c>
      <c r="F193" s="18">
        <f t="shared" si="8"/>
        <v>3.1349206349206349</v>
      </c>
      <c r="G193" s="17">
        <f t="shared" si="7"/>
        <v>11.285714285714286</v>
      </c>
      <c r="H193" s="16"/>
    </row>
    <row r="194" spans="1:8" ht="16" x14ac:dyDescent="0.2">
      <c r="A194" s="13" t="s">
        <v>26</v>
      </c>
      <c r="B194" s="2" t="s">
        <v>11</v>
      </c>
      <c r="C194" s="2">
        <v>1</v>
      </c>
      <c r="D194" s="11">
        <v>3.95</v>
      </c>
      <c r="E194" s="18">
        <v>1.73</v>
      </c>
      <c r="F194" s="18">
        <f t="shared" si="8"/>
        <v>2.2832369942196533</v>
      </c>
      <c r="G194" s="17">
        <f t="shared" si="7"/>
        <v>8.2196531791907521</v>
      </c>
      <c r="H194" s="16" t="s">
        <v>34</v>
      </c>
    </row>
    <row r="195" spans="1:8" ht="16" x14ac:dyDescent="0.2">
      <c r="A195" s="13" t="s">
        <v>26</v>
      </c>
      <c r="B195" s="2" t="s">
        <v>11</v>
      </c>
      <c r="C195" s="2">
        <v>2</v>
      </c>
      <c r="D195" s="11">
        <v>3.95</v>
      </c>
      <c r="E195" s="18">
        <v>2.84</v>
      </c>
      <c r="F195" s="18">
        <f t="shared" si="8"/>
        <v>1.3908450704225352</v>
      </c>
      <c r="G195" s="17">
        <f t="shared" si="7"/>
        <v>5.007042253521127</v>
      </c>
      <c r="H195" s="16"/>
    </row>
    <row r="196" spans="1:8" ht="16" x14ac:dyDescent="0.2">
      <c r="A196" s="13" t="s">
        <v>26</v>
      </c>
      <c r="B196" s="2" t="s">
        <v>11</v>
      </c>
      <c r="C196" s="2">
        <v>3</v>
      </c>
      <c r="D196" s="11">
        <v>3.95</v>
      </c>
      <c r="E196" s="18">
        <v>2.78</v>
      </c>
      <c r="F196" s="18">
        <f t="shared" si="8"/>
        <v>1.4208633093525183</v>
      </c>
      <c r="G196" s="17">
        <f t="shared" si="7"/>
        <v>5.1151079136690658</v>
      </c>
      <c r="H196" s="16"/>
    </row>
    <row r="197" spans="1:8" ht="16" x14ac:dyDescent="0.2">
      <c r="A197" s="13" t="s">
        <v>26</v>
      </c>
      <c r="B197" s="2" t="s">
        <v>11</v>
      </c>
      <c r="C197" s="2">
        <v>4</v>
      </c>
      <c r="D197" s="11">
        <v>3.95</v>
      </c>
      <c r="E197" s="18">
        <v>2.83</v>
      </c>
      <c r="F197" s="18">
        <f t="shared" si="8"/>
        <v>1.3957597173144876</v>
      </c>
      <c r="G197" s="17">
        <f t="shared" si="7"/>
        <v>5.0247349823321557</v>
      </c>
      <c r="H197" s="16"/>
    </row>
    <row r="198" spans="1:8" ht="16" x14ac:dyDescent="0.2">
      <c r="A198" s="13" t="s">
        <v>26</v>
      </c>
      <c r="B198" s="2" t="s">
        <v>11</v>
      </c>
      <c r="C198" s="2">
        <v>5</v>
      </c>
      <c r="D198" s="11">
        <v>3.95</v>
      </c>
      <c r="E198" s="18">
        <v>2.81</v>
      </c>
      <c r="F198" s="18">
        <f t="shared" si="8"/>
        <v>1.405693950177936</v>
      </c>
      <c r="G198" s="17">
        <f t="shared" si="7"/>
        <v>5.0604982206405698</v>
      </c>
      <c r="H198" s="16"/>
    </row>
    <row r="199" spans="1:8" ht="16" x14ac:dyDescent="0.2">
      <c r="A199" s="13" t="s">
        <v>26</v>
      </c>
      <c r="B199" s="2" t="s">
        <v>11</v>
      </c>
      <c r="C199" s="2">
        <v>6</v>
      </c>
      <c r="D199" s="11">
        <v>3.95</v>
      </c>
      <c r="E199" s="18">
        <v>2.81</v>
      </c>
      <c r="F199" s="18">
        <f t="shared" si="8"/>
        <v>1.405693950177936</v>
      </c>
      <c r="G199" s="17">
        <f t="shared" si="7"/>
        <v>5.0604982206405698</v>
      </c>
      <c r="H199" s="16"/>
    </row>
    <row r="200" spans="1:8" ht="16" x14ac:dyDescent="0.2">
      <c r="A200" s="13" t="s">
        <v>26</v>
      </c>
      <c r="B200" s="2" t="s">
        <v>11</v>
      </c>
      <c r="C200" s="2">
        <v>7</v>
      </c>
      <c r="D200" s="11">
        <v>3.95</v>
      </c>
      <c r="E200" s="18">
        <v>3.07</v>
      </c>
      <c r="F200" s="18">
        <f t="shared" si="8"/>
        <v>1.2866449511400653</v>
      </c>
      <c r="G200" s="17">
        <f t="shared" si="7"/>
        <v>4.6319218241042348</v>
      </c>
      <c r="H200" s="16"/>
    </row>
    <row r="201" spans="1:8" ht="16" x14ac:dyDescent="0.2">
      <c r="A201" s="13" t="s">
        <v>26</v>
      </c>
      <c r="B201" s="2" t="s">
        <v>11</v>
      </c>
      <c r="C201" s="2">
        <v>8</v>
      </c>
      <c r="D201" s="11">
        <v>3.95</v>
      </c>
      <c r="E201" s="18">
        <v>2.86</v>
      </c>
      <c r="F201" s="18">
        <f t="shared" si="8"/>
        <v>1.3811188811188813</v>
      </c>
      <c r="G201" s="17">
        <f t="shared" si="7"/>
        <v>4.9720279720279725</v>
      </c>
      <c r="H201" s="16"/>
    </row>
    <row r="202" spans="1:8" ht="16" x14ac:dyDescent="0.2">
      <c r="A202" s="13" t="s">
        <v>26</v>
      </c>
      <c r="B202" s="2" t="s">
        <v>11</v>
      </c>
      <c r="C202" s="2">
        <v>9</v>
      </c>
      <c r="D202" s="11">
        <v>3.95</v>
      </c>
      <c r="E202" s="18">
        <v>2.78</v>
      </c>
      <c r="F202" s="18">
        <f t="shared" si="8"/>
        <v>1.4208633093525183</v>
      </c>
      <c r="G202" s="17">
        <f t="shared" si="7"/>
        <v>5.1151079136690658</v>
      </c>
      <c r="H202" s="16"/>
    </row>
    <row r="203" spans="1:8" ht="16" x14ac:dyDescent="0.2">
      <c r="A203" s="13" t="s">
        <v>26</v>
      </c>
      <c r="B203" s="2" t="s">
        <v>11</v>
      </c>
      <c r="C203" s="2">
        <v>10</v>
      </c>
      <c r="D203" s="11">
        <v>3.95</v>
      </c>
      <c r="E203" s="18">
        <v>2.83</v>
      </c>
      <c r="F203" s="18">
        <f t="shared" si="8"/>
        <v>1.3957597173144876</v>
      </c>
      <c r="G203" s="17">
        <f t="shared" si="7"/>
        <v>5.0247349823321557</v>
      </c>
      <c r="H203" s="16"/>
    </row>
    <row r="204" spans="1:8" ht="16" x14ac:dyDescent="0.2">
      <c r="A204" s="13" t="s">
        <v>26</v>
      </c>
      <c r="B204" s="2" t="s">
        <v>11</v>
      </c>
      <c r="C204" s="2">
        <v>11</v>
      </c>
      <c r="D204" s="11">
        <v>3.95</v>
      </c>
      <c r="E204" s="18">
        <v>3.03</v>
      </c>
      <c r="F204" s="18">
        <f t="shared" si="8"/>
        <v>1.3036303630363038</v>
      </c>
      <c r="G204" s="17">
        <f t="shared" si="7"/>
        <v>4.6930693069306937</v>
      </c>
      <c r="H204" s="16"/>
    </row>
    <row r="205" spans="1:8" ht="16" x14ac:dyDescent="0.2">
      <c r="A205" s="13" t="s">
        <v>26</v>
      </c>
      <c r="B205" s="2" t="s">
        <v>11</v>
      </c>
      <c r="C205" s="2">
        <v>12</v>
      </c>
      <c r="D205" s="11">
        <v>3.95</v>
      </c>
      <c r="E205" s="18">
        <v>3.02</v>
      </c>
      <c r="F205" s="18">
        <f t="shared" si="8"/>
        <v>1.3079470198675498</v>
      </c>
      <c r="G205" s="17">
        <f t="shared" si="7"/>
        <v>4.7086092715231791</v>
      </c>
      <c r="H205" s="16"/>
    </row>
    <row r="206" spans="1:8" ht="16" x14ac:dyDescent="0.2">
      <c r="A206" s="13" t="s">
        <v>26</v>
      </c>
      <c r="B206" s="2" t="s">
        <v>11</v>
      </c>
      <c r="C206" s="2">
        <v>13</v>
      </c>
      <c r="D206" s="11">
        <v>3.95</v>
      </c>
      <c r="E206" s="18">
        <v>2.82</v>
      </c>
      <c r="F206" s="18">
        <f t="shared" si="8"/>
        <v>1.4007092198581561</v>
      </c>
      <c r="G206" s="17">
        <f t="shared" si="7"/>
        <v>5.042553191489362</v>
      </c>
      <c r="H206" s="16"/>
    </row>
    <row r="207" spans="1:8" ht="16" x14ac:dyDescent="0.2">
      <c r="A207" s="13" t="s">
        <v>26</v>
      </c>
      <c r="B207" s="2" t="s">
        <v>11</v>
      </c>
      <c r="C207" s="2">
        <v>14</v>
      </c>
      <c r="D207" s="11">
        <v>3.95</v>
      </c>
      <c r="E207" s="18">
        <v>2.94</v>
      </c>
      <c r="F207" s="18">
        <f t="shared" si="8"/>
        <v>1.3435374149659864</v>
      </c>
      <c r="G207" s="17">
        <f t="shared" si="7"/>
        <v>4.8367346938775517</v>
      </c>
      <c r="H207" s="16"/>
    </row>
    <row r="208" spans="1:8" ht="16" x14ac:dyDescent="0.2">
      <c r="A208" s="13" t="s">
        <v>26</v>
      </c>
      <c r="B208" s="2" t="s">
        <v>11</v>
      </c>
      <c r="C208" s="2">
        <v>15</v>
      </c>
      <c r="D208" s="11">
        <v>3.95</v>
      </c>
      <c r="E208" s="18">
        <v>2.92</v>
      </c>
      <c r="F208" s="18">
        <f t="shared" si="8"/>
        <v>1.3527397260273974</v>
      </c>
      <c r="G208" s="17">
        <f t="shared" si="7"/>
        <v>4.8698630136986312</v>
      </c>
      <c r="H208" s="16"/>
    </row>
    <row r="209" spans="1:8" ht="16" x14ac:dyDescent="0.2">
      <c r="A209" s="13" t="s">
        <v>26</v>
      </c>
      <c r="B209" s="2" t="s">
        <v>11</v>
      </c>
      <c r="C209" s="2">
        <v>16</v>
      </c>
      <c r="D209" s="11">
        <v>3.95</v>
      </c>
      <c r="E209" s="18">
        <v>3.02</v>
      </c>
      <c r="F209" s="18">
        <f t="shared" si="8"/>
        <v>1.3079470198675498</v>
      </c>
      <c r="G209" s="17">
        <f t="shared" si="7"/>
        <v>4.7086092715231791</v>
      </c>
      <c r="H209" s="16"/>
    </row>
    <row r="210" spans="1:8" ht="16" x14ac:dyDescent="0.2">
      <c r="A210" s="13" t="s">
        <v>26</v>
      </c>
      <c r="B210" s="2" t="s">
        <v>12</v>
      </c>
      <c r="C210" s="2">
        <v>1</v>
      </c>
      <c r="D210" s="11">
        <v>3.95</v>
      </c>
      <c r="E210" s="18">
        <v>1.96</v>
      </c>
      <c r="F210" s="18">
        <f t="shared" si="8"/>
        <v>2.0153061224489797</v>
      </c>
      <c r="G210" s="17">
        <f t="shared" si="7"/>
        <v>7.2551020408163271</v>
      </c>
      <c r="H210" s="16"/>
    </row>
    <row r="211" spans="1:8" ht="16" x14ac:dyDescent="0.2">
      <c r="A211" s="13" t="s">
        <v>26</v>
      </c>
      <c r="B211" s="2" t="s">
        <v>12</v>
      </c>
      <c r="C211" s="2">
        <v>2</v>
      </c>
      <c r="D211" s="11">
        <v>3.95</v>
      </c>
      <c r="E211" s="18">
        <v>1.96</v>
      </c>
      <c r="F211" s="18">
        <f t="shared" si="8"/>
        <v>2.0153061224489797</v>
      </c>
      <c r="G211" s="17">
        <f t="shared" si="7"/>
        <v>7.2551020408163271</v>
      </c>
      <c r="H211" s="16"/>
    </row>
    <row r="212" spans="1:8" ht="16" x14ac:dyDescent="0.2">
      <c r="A212" s="13" t="s">
        <v>26</v>
      </c>
      <c r="B212" s="2" t="s">
        <v>12</v>
      </c>
      <c r="C212" s="2">
        <v>3</v>
      </c>
      <c r="D212" s="11">
        <v>3.95</v>
      </c>
      <c r="E212" s="18">
        <v>2.0299999999999998</v>
      </c>
      <c r="F212" s="18">
        <f t="shared" si="8"/>
        <v>1.9458128078817736</v>
      </c>
      <c r="G212" s="17">
        <f t="shared" si="7"/>
        <v>7.0049261083743852</v>
      </c>
      <c r="H212" s="16"/>
    </row>
    <row r="213" spans="1:8" ht="16" x14ac:dyDescent="0.2">
      <c r="A213" s="13" t="s">
        <v>26</v>
      </c>
      <c r="B213" s="2" t="s">
        <v>12</v>
      </c>
      <c r="C213" s="2">
        <v>4</v>
      </c>
      <c r="D213" s="11">
        <v>3.95</v>
      </c>
      <c r="E213" s="18">
        <v>1.9</v>
      </c>
      <c r="F213" s="18">
        <f t="shared" si="8"/>
        <v>2.0789473684210527</v>
      </c>
      <c r="G213" s="17">
        <f t="shared" si="7"/>
        <v>7.4842105263157901</v>
      </c>
      <c r="H213" s="16"/>
    </row>
    <row r="214" spans="1:8" ht="16" x14ac:dyDescent="0.2">
      <c r="A214" s="13" t="s">
        <v>26</v>
      </c>
      <c r="B214" s="2" t="s">
        <v>12</v>
      </c>
      <c r="C214" s="2">
        <v>5</v>
      </c>
      <c r="D214" s="11">
        <v>3.95</v>
      </c>
      <c r="E214" s="18">
        <v>1.9</v>
      </c>
      <c r="F214" s="18">
        <f t="shared" si="8"/>
        <v>2.0789473684210527</v>
      </c>
      <c r="G214" s="17">
        <f t="shared" si="7"/>
        <v>7.4842105263157901</v>
      </c>
      <c r="H214" s="16"/>
    </row>
    <row r="215" spans="1:8" ht="16" x14ac:dyDescent="0.2">
      <c r="A215" s="13" t="s">
        <v>26</v>
      </c>
      <c r="B215" s="2" t="s">
        <v>12</v>
      </c>
      <c r="C215" s="2">
        <v>6</v>
      </c>
      <c r="D215" s="11">
        <v>3.95</v>
      </c>
      <c r="E215" s="18">
        <v>1.77</v>
      </c>
      <c r="F215" s="18">
        <f t="shared" si="8"/>
        <v>2.231638418079096</v>
      </c>
      <c r="G215" s="17">
        <f t="shared" si="7"/>
        <v>8.0338983050847457</v>
      </c>
      <c r="H215" s="16"/>
    </row>
    <row r="216" spans="1:8" ht="16" x14ac:dyDescent="0.2">
      <c r="A216" s="13" t="s">
        <v>26</v>
      </c>
      <c r="B216" s="2" t="s">
        <v>12</v>
      </c>
      <c r="C216" s="2">
        <v>7</v>
      </c>
      <c r="D216" s="11">
        <v>3.95</v>
      </c>
      <c r="E216" s="18">
        <v>1.97</v>
      </c>
      <c r="F216" s="18">
        <f t="shared" si="8"/>
        <v>2.0050761421319798</v>
      </c>
      <c r="G216" s="17">
        <f t="shared" si="7"/>
        <v>7.2182741116751279</v>
      </c>
      <c r="H216" s="16"/>
    </row>
    <row r="217" spans="1:8" ht="16" x14ac:dyDescent="0.2">
      <c r="A217" s="13" t="s">
        <v>26</v>
      </c>
      <c r="B217" s="2" t="s">
        <v>12</v>
      </c>
      <c r="C217" s="2">
        <v>8</v>
      </c>
      <c r="D217" s="11">
        <v>3.95</v>
      </c>
      <c r="E217" s="18">
        <v>1.8</v>
      </c>
      <c r="F217" s="18">
        <f t="shared" ref="F217:F232" si="9">D217/E217</f>
        <v>2.1944444444444446</v>
      </c>
      <c r="G217" s="17">
        <f t="shared" si="7"/>
        <v>7.9000000000000012</v>
      </c>
      <c r="H217" s="16"/>
    </row>
    <row r="218" spans="1:8" ht="16" x14ac:dyDescent="0.2">
      <c r="A218" s="13" t="s">
        <v>26</v>
      </c>
      <c r="B218" s="2" t="s">
        <v>12</v>
      </c>
      <c r="C218" s="2">
        <v>9</v>
      </c>
      <c r="D218" s="11">
        <v>3.95</v>
      </c>
      <c r="E218" s="18">
        <v>1.64</v>
      </c>
      <c r="F218" s="18">
        <f t="shared" si="9"/>
        <v>2.4085365853658538</v>
      </c>
      <c r="G218" s="17">
        <f t="shared" si="7"/>
        <v>8.6707317073170742</v>
      </c>
      <c r="H218" s="16"/>
    </row>
    <row r="219" spans="1:8" ht="16" x14ac:dyDescent="0.2">
      <c r="A219" s="13" t="s">
        <v>26</v>
      </c>
      <c r="B219" s="2" t="s">
        <v>12</v>
      </c>
      <c r="C219" s="2">
        <v>10</v>
      </c>
      <c r="D219" s="11">
        <v>3.95</v>
      </c>
      <c r="E219" s="18">
        <v>1.5</v>
      </c>
      <c r="F219" s="18">
        <f t="shared" si="9"/>
        <v>2.6333333333333333</v>
      </c>
      <c r="G219" s="17">
        <f t="shared" si="7"/>
        <v>9.48</v>
      </c>
      <c r="H219" s="16"/>
    </row>
    <row r="220" spans="1:8" ht="16" x14ac:dyDescent="0.2">
      <c r="A220" s="13" t="s">
        <v>26</v>
      </c>
      <c r="B220" s="2" t="s">
        <v>12</v>
      </c>
      <c r="C220" s="2">
        <v>11</v>
      </c>
      <c r="D220" s="11">
        <v>3.95</v>
      </c>
      <c r="E220" s="18">
        <v>1.75</v>
      </c>
      <c r="F220" s="18">
        <f t="shared" si="9"/>
        <v>2.2571428571428571</v>
      </c>
      <c r="G220" s="17">
        <f t="shared" si="7"/>
        <v>8.1257142857142863</v>
      </c>
      <c r="H220" s="16"/>
    </row>
    <row r="221" spans="1:8" ht="16" x14ac:dyDescent="0.2">
      <c r="A221" s="13" t="s">
        <v>26</v>
      </c>
      <c r="B221" s="2" t="s">
        <v>12</v>
      </c>
      <c r="C221" s="2">
        <v>12</v>
      </c>
      <c r="D221" s="11">
        <v>3.95</v>
      </c>
      <c r="E221" s="18">
        <v>1.64</v>
      </c>
      <c r="F221" s="18">
        <f t="shared" si="9"/>
        <v>2.4085365853658538</v>
      </c>
      <c r="G221" s="17">
        <f t="shared" si="7"/>
        <v>8.6707317073170742</v>
      </c>
      <c r="H221" s="16"/>
    </row>
    <row r="222" spans="1:8" ht="16" x14ac:dyDescent="0.2">
      <c r="A222" s="13" t="s">
        <v>26</v>
      </c>
      <c r="B222" s="2" t="s">
        <v>13</v>
      </c>
      <c r="C222" s="2">
        <v>1</v>
      </c>
      <c r="D222" s="11">
        <v>3.95</v>
      </c>
      <c r="E222" s="18">
        <v>1.5</v>
      </c>
      <c r="F222" s="18">
        <f t="shared" si="9"/>
        <v>2.6333333333333333</v>
      </c>
      <c r="G222" s="17">
        <f t="shared" si="7"/>
        <v>9.48</v>
      </c>
      <c r="H222" s="16"/>
    </row>
    <row r="223" spans="1:8" ht="16" x14ac:dyDescent="0.2">
      <c r="A223" s="13" t="s">
        <v>26</v>
      </c>
      <c r="B223" s="2" t="s">
        <v>13</v>
      </c>
      <c r="C223" s="2">
        <v>2</v>
      </c>
      <c r="D223" s="11">
        <v>3.95</v>
      </c>
      <c r="E223" s="18">
        <v>1.67</v>
      </c>
      <c r="F223" s="18">
        <f t="shared" si="9"/>
        <v>2.3652694610778444</v>
      </c>
      <c r="G223" s="17">
        <f t="shared" si="7"/>
        <v>8.5149700598802394</v>
      </c>
      <c r="H223" s="16"/>
    </row>
    <row r="224" spans="1:8" ht="16" x14ac:dyDescent="0.2">
      <c r="A224" s="13" t="s">
        <v>26</v>
      </c>
      <c r="B224" s="2" t="s">
        <v>13</v>
      </c>
      <c r="C224" s="2">
        <v>3</v>
      </c>
      <c r="D224" s="11">
        <v>3.95</v>
      </c>
      <c r="E224" s="18">
        <v>1.73</v>
      </c>
      <c r="F224" s="18">
        <f t="shared" si="9"/>
        <v>2.2832369942196533</v>
      </c>
      <c r="G224" s="17">
        <f t="shared" si="7"/>
        <v>8.2196531791907521</v>
      </c>
      <c r="H224" s="16"/>
    </row>
    <row r="225" spans="1:8" ht="16" x14ac:dyDescent="0.2">
      <c r="A225" s="13" t="s">
        <v>26</v>
      </c>
      <c r="B225" s="2" t="s">
        <v>13</v>
      </c>
      <c r="C225" s="2">
        <v>4</v>
      </c>
      <c r="D225" s="11">
        <v>3.95</v>
      </c>
      <c r="E225" s="18">
        <v>1.66</v>
      </c>
      <c r="F225" s="18">
        <f t="shared" si="9"/>
        <v>2.3795180722891569</v>
      </c>
      <c r="G225" s="17">
        <f t="shared" si="7"/>
        <v>8.5662650602409656</v>
      </c>
      <c r="H225" s="16"/>
    </row>
    <row r="226" spans="1:8" ht="16" x14ac:dyDescent="0.2">
      <c r="A226" s="13" t="s">
        <v>26</v>
      </c>
      <c r="B226" s="2" t="s">
        <v>13</v>
      </c>
      <c r="C226" s="2">
        <v>5</v>
      </c>
      <c r="D226" s="11">
        <v>3.95</v>
      </c>
      <c r="E226" s="18">
        <v>1.62</v>
      </c>
      <c r="F226" s="18">
        <f t="shared" si="9"/>
        <v>2.4382716049382718</v>
      </c>
      <c r="G226" s="17">
        <f t="shared" si="7"/>
        <v>8.7777777777777786</v>
      </c>
      <c r="H226" s="16"/>
    </row>
    <row r="227" spans="1:8" ht="16" x14ac:dyDescent="0.2">
      <c r="A227" s="13" t="s">
        <v>26</v>
      </c>
      <c r="B227" s="2" t="s">
        <v>13</v>
      </c>
      <c r="C227" s="2">
        <v>6</v>
      </c>
      <c r="D227" s="11">
        <v>3.95</v>
      </c>
      <c r="E227" s="18">
        <v>1.68</v>
      </c>
      <c r="F227" s="18">
        <f t="shared" si="9"/>
        <v>2.3511904761904763</v>
      </c>
      <c r="G227" s="17">
        <f t="shared" si="7"/>
        <v>8.4642857142857153</v>
      </c>
      <c r="H227" s="16"/>
    </row>
    <row r="228" spans="1:8" ht="16" x14ac:dyDescent="0.2">
      <c r="A228" s="13" t="s">
        <v>26</v>
      </c>
      <c r="B228" s="2" t="s">
        <v>13</v>
      </c>
      <c r="C228" s="2">
        <v>7</v>
      </c>
      <c r="D228" s="11">
        <v>3.95</v>
      </c>
      <c r="E228" s="18">
        <v>1.6</v>
      </c>
      <c r="F228" s="18">
        <f t="shared" si="9"/>
        <v>2.46875</v>
      </c>
      <c r="G228" s="17">
        <f t="shared" si="7"/>
        <v>8.8875000000000011</v>
      </c>
      <c r="H228" s="16"/>
    </row>
    <row r="229" spans="1:8" ht="16" x14ac:dyDescent="0.2">
      <c r="A229" s="13" t="s">
        <v>26</v>
      </c>
      <c r="B229" s="2" t="s">
        <v>13</v>
      </c>
      <c r="C229" s="2">
        <v>8</v>
      </c>
      <c r="D229" s="11">
        <v>3.95</v>
      </c>
      <c r="E229" s="18">
        <v>1.6</v>
      </c>
      <c r="F229" s="18">
        <f t="shared" si="9"/>
        <v>2.46875</v>
      </c>
      <c r="G229" s="17">
        <f t="shared" si="7"/>
        <v>8.8875000000000011</v>
      </c>
      <c r="H229" s="16"/>
    </row>
    <row r="230" spans="1:8" ht="16" x14ac:dyDescent="0.2">
      <c r="A230" s="13" t="s">
        <v>26</v>
      </c>
      <c r="B230" s="2" t="s">
        <v>13</v>
      </c>
      <c r="C230" s="2">
        <v>9</v>
      </c>
      <c r="D230" s="11">
        <v>3.95</v>
      </c>
      <c r="E230" s="18">
        <v>1.58</v>
      </c>
      <c r="F230" s="18">
        <f t="shared" si="9"/>
        <v>2.5</v>
      </c>
      <c r="G230" s="17">
        <f t="shared" ref="G230:G232" si="10">F230*3.6</f>
        <v>9</v>
      </c>
      <c r="H230" s="16"/>
    </row>
    <row r="231" spans="1:8" ht="16" x14ac:dyDescent="0.2">
      <c r="A231" s="13" t="s">
        <v>26</v>
      </c>
      <c r="B231" s="2" t="s">
        <v>13</v>
      </c>
      <c r="C231" s="2">
        <v>10</v>
      </c>
      <c r="D231" s="11">
        <v>3.95</v>
      </c>
      <c r="E231" s="18">
        <v>1.6</v>
      </c>
      <c r="F231" s="18">
        <f t="shared" si="9"/>
        <v>2.46875</v>
      </c>
      <c r="G231" s="17">
        <f t="shared" si="10"/>
        <v>8.8875000000000011</v>
      </c>
      <c r="H231" s="16"/>
    </row>
    <row r="232" spans="1:8" ht="16" x14ac:dyDescent="0.2">
      <c r="A232" s="13" t="s">
        <v>26</v>
      </c>
      <c r="B232" s="2" t="s">
        <v>13</v>
      </c>
      <c r="C232" s="2">
        <v>11</v>
      </c>
      <c r="D232" s="11">
        <v>3.95</v>
      </c>
      <c r="E232" s="18">
        <v>1.62</v>
      </c>
      <c r="F232" s="18">
        <f t="shared" si="9"/>
        <v>2.4382716049382718</v>
      </c>
      <c r="G232" s="17">
        <f t="shared" si="10"/>
        <v>8.7777777777777786</v>
      </c>
      <c r="H232" s="16"/>
    </row>
    <row r="233" spans="1:8" ht="16" x14ac:dyDescent="0.2">
      <c r="A233" s="19" t="s">
        <v>27</v>
      </c>
      <c r="B233" s="20" t="s">
        <v>11</v>
      </c>
      <c r="C233" s="20">
        <v>1</v>
      </c>
      <c r="D233" s="21">
        <v>3.95</v>
      </c>
      <c r="E233" s="22">
        <v>2.56</v>
      </c>
      <c r="F233" s="22">
        <v>1.54</v>
      </c>
      <c r="G233" s="22">
        <v>5.6</v>
      </c>
      <c r="H233" s="16" t="s">
        <v>38</v>
      </c>
    </row>
    <row r="234" spans="1:8" ht="16" x14ac:dyDescent="0.2">
      <c r="A234" s="19" t="s">
        <v>27</v>
      </c>
      <c r="B234" s="20" t="s">
        <v>11</v>
      </c>
      <c r="C234" s="20">
        <v>2</v>
      </c>
      <c r="D234" s="21">
        <v>3.95</v>
      </c>
      <c r="E234" s="22">
        <v>2.67</v>
      </c>
      <c r="F234" s="22">
        <v>1.48</v>
      </c>
      <c r="G234" s="22">
        <v>5.3</v>
      </c>
      <c r="H234" s="16"/>
    </row>
    <row r="235" spans="1:8" ht="16" x14ac:dyDescent="0.2">
      <c r="A235" s="19" t="s">
        <v>27</v>
      </c>
      <c r="B235" s="20" t="s">
        <v>11</v>
      </c>
      <c r="C235" s="20">
        <v>3</v>
      </c>
      <c r="D235" s="21">
        <v>3.95</v>
      </c>
      <c r="E235" s="22">
        <v>2.76</v>
      </c>
      <c r="F235" s="22">
        <v>1.43</v>
      </c>
      <c r="G235" s="22">
        <v>5.2</v>
      </c>
      <c r="H235" s="16"/>
    </row>
    <row r="236" spans="1:8" ht="16" x14ac:dyDescent="0.2">
      <c r="A236" s="19" t="s">
        <v>27</v>
      </c>
      <c r="B236" s="20" t="s">
        <v>11</v>
      </c>
      <c r="C236" s="20">
        <v>4</v>
      </c>
      <c r="D236" s="21">
        <v>3.95</v>
      </c>
      <c r="E236" s="22">
        <v>2.78</v>
      </c>
      <c r="F236" s="22">
        <v>1.42</v>
      </c>
      <c r="G236" s="22">
        <v>5.0999999999999996</v>
      </c>
      <c r="H236" s="16"/>
    </row>
    <row r="237" spans="1:8" ht="16" x14ac:dyDescent="0.2">
      <c r="A237" s="19" t="s">
        <v>27</v>
      </c>
      <c r="B237" s="20" t="s">
        <v>11</v>
      </c>
      <c r="C237" s="20">
        <v>5</v>
      </c>
      <c r="D237" s="21">
        <v>3.95</v>
      </c>
      <c r="E237" s="22">
        <v>2.76</v>
      </c>
      <c r="F237" s="22">
        <v>1.43</v>
      </c>
      <c r="G237" s="22">
        <v>5.2</v>
      </c>
      <c r="H237" s="16"/>
    </row>
    <row r="238" spans="1:8" ht="16" x14ac:dyDescent="0.2">
      <c r="A238" s="19" t="s">
        <v>27</v>
      </c>
      <c r="B238" s="20" t="s">
        <v>11</v>
      </c>
      <c r="C238" s="20">
        <v>6</v>
      </c>
      <c r="D238" s="21">
        <v>3.95</v>
      </c>
      <c r="E238" s="22">
        <v>2.78</v>
      </c>
      <c r="F238" s="22">
        <v>1.42</v>
      </c>
      <c r="G238" s="22">
        <v>5.0999999999999996</v>
      </c>
      <c r="H238" s="16"/>
    </row>
    <row r="239" spans="1:8" ht="16" x14ac:dyDescent="0.2">
      <c r="A239" s="19" t="s">
        <v>27</v>
      </c>
      <c r="B239" s="20" t="s">
        <v>11</v>
      </c>
      <c r="C239" s="20">
        <v>7</v>
      </c>
      <c r="D239" s="21">
        <v>3.95</v>
      </c>
      <c r="E239" s="22">
        <v>2.76</v>
      </c>
      <c r="F239" s="22">
        <v>1.43</v>
      </c>
      <c r="G239" s="22">
        <v>5.2</v>
      </c>
      <c r="H239" s="16"/>
    </row>
    <row r="240" spans="1:8" ht="16" x14ac:dyDescent="0.2">
      <c r="A240" s="19" t="s">
        <v>27</v>
      </c>
      <c r="B240" s="20" t="s">
        <v>11</v>
      </c>
      <c r="C240" s="20">
        <v>8</v>
      </c>
      <c r="D240" s="21">
        <v>3.95</v>
      </c>
      <c r="E240" s="22">
        <v>2.86</v>
      </c>
      <c r="F240" s="22">
        <v>1.38</v>
      </c>
      <c r="G240" s="22">
        <v>5</v>
      </c>
      <c r="H240" s="16"/>
    </row>
    <row r="241" spans="1:8" ht="16" x14ac:dyDescent="0.2">
      <c r="A241" s="19" t="s">
        <v>27</v>
      </c>
      <c r="B241" s="20" t="s">
        <v>11</v>
      </c>
      <c r="C241" s="20">
        <v>9</v>
      </c>
      <c r="D241" s="21">
        <v>3.95</v>
      </c>
      <c r="E241" s="22">
        <v>2.86</v>
      </c>
      <c r="F241" s="22">
        <v>1.38</v>
      </c>
      <c r="G241" s="22">
        <v>5</v>
      </c>
      <c r="H241" s="16"/>
    </row>
    <row r="242" spans="1:8" ht="16" x14ac:dyDescent="0.2">
      <c r="A242" s="19" t="s">
        <v>27</v>
      </c>
      <c r="B242" s="20" t="s">
        <v>11</v>
      </c>
      <c r="C242" s="20">
        <v>10</v>
      </c>
      <c r="D242" s="21">
        <v>3.95</v>
      </c>
      <c r="E242" s="22">
        <v>2.52</v>
      </c>
      <c r="F242" s="22">
        <v>1.57</v>
      </c>
      <c r="G242" s="22">
        <v>5.6</v>
      </c>
      <c r="H242" s="16"/>
    </row>
    <row r="243" spans="1:8" ht="16" x14ac:dyDescent="0.2">
      <c r="A243" s="19" t="s">
        <v>27</v>
      </c>
      <c r="B243" s="20" t="s">
        <v>12</v>
      </c>
      <c r="C243" s="20">
        <v>1</v>
      </c>
      <c r="D243" s="21">
        <v>3.95</v>
      </c>
      <c r="E243" s="22">
        <v>1.53</v>
      </c>
      <c r="F243" s="22">
        <v>2.58</v>
      </c>
      <c r="G243" s="22">
        <v>9.3000000000000007</v>
      </c>
      <c r="H243" s="16"/>
    </row>
    <row r="244" spans="1:8" ht="16" x14ac:dyDescent="0.2">
      <c r="A244" s="19" t="s">
        <v>27</v>
      </c>
      <c r="B244" s="20" t="s">
        <v>12</v>
      </c>
      <c r="C244" s="20">
        <v>2</v>
      </c>
      <c r="D244" s="21">
        <v>3.95</v>
      </c>
      <c r="E244" s="22">
        <v>1.49</v>
      </c>
      <c r="F244" s="22">
        <v>2.65</v>
      </c>
      <c r="G244" s="22">
        <v>9.5</v>
      </c>
      <c r="H244" s="16"/>
    </row>
    <row r="245" spans="1:8" ht="16" x14ac:dyDescent="0.2">
      <c r="A245" s="19" t="s">
        <v>27</v>
      </c>
      <c r="B245" s="20" t="s">
        <v>12</v>
      </c>
      <c r="C245" s="20">
        <v>3</v>
      </c>
      <c r="D245" s="21">
        <v>3.95</v>
      </c>
      <c r="E245" s="22">
        <v>1.4</v>
      </c>
      <c r="F245" s="22">
        <v>2.82</v>
      </c>
      <c r="G245" s="22">
        <v>10.199999999999999</v>
      </c>
      <c r="H245" s="16"/>
    </row>
    <row r="246" spans="1:8" ht="16" x14ac:dyDescent="0.2">
      <c r="A246" s="19" t="s">
        <v>27</v>
      </c>
      <c r="B246" s="20" t="s">
        <v>12</v>
      </c>
      <c r="C246" s="20">
        <v>4</v>
      </c>
      <c r="D246" s="21">
        <v>3.95</v>
      </c>
      <c r="E246" s="22">
        <v>1.46</v>
      </c>
      <c r="F246" s="22">
        <v>2.71</v>
      </c>
      <c r="G246" s="22">
        <v>9.6999999999999993</v>
      </c>
      <c r="H246" s="16"/>
    </row>
    <row r="247" spans="1:8" ht="16" x14ac:dyDescent="0.2">
      <c r="A247" s="19" t="s">
        <v>27</v>
      </c>
      <c r="B247" s="20" t="s">
        <v>12</v>
      </c>
      <c r="C247" s="20">
        <v>5</v>
      </c>
      <c r="D247" s="21">
        <v>3.95</v>
      </c>
      <c r="E247" s="22">
        <v>1.37</v>
      </c>
      <c r="F247" s="22">
        <v>2.88</v>
      </c>
      <c r="G247" s="22">
        <v>10.4</v>
      </c>
      <c r="H247" s="16"/>
    </row>
    <row r="248" spans="1:8" ht="16" x14ac:dyDescent="0.2">
      <c r="A248" s="23" t="s">
        <v>27</v>
      </c>
      <c r="B248" s="20" t="s">
        <v>12</v>
      </c>
      <c r="C248" s="20">
        <v>6</v>
      </c>
      <c r="D248" s="24">
        <v>3.95</v>
      </c>
      <c r="E248" s="25">
        <v>1.37</v>
      </c>
      <c r="F248" s="22">
        <v>2.88</v>
      </c>
      <c r="G248" s="22">
        <v>10.4</v>
      </c>
      <c r="H248" s="16"/>
    </row>
    <row r="249" spans="1:8" ht="16" x14ac:dyDescent="0.2">
      <c r="A249" s="19" t="s">
        <v>27</v>
      </c>
      <c r="B249" s="20" t="s">
        <v>12</v>
      </c>
      <c r="C249" s="26">
        <v>7</v>
      </c>
      <c r="D249" s="21">
        <v>3.95</v>
      </c>
      <c r="E249" s="22">
        <v>1.38</v>
      </c>
      <c r="F249" s="22">
        <v>2.86</v>
      </c>
      <c r="G249" s="22">
        <v>10.3</v>
      </c>
      <c r="H249" s="16"/>
    </row>
    <row r="250" spans="1:8" ht="16" x14ac:dyDescent="0.2">
      <c r="A250" s="19" t="s">
        <v>27</v>
      </c>
      <c r="B250" s="26" t="s">
        <v>12</v>
      </c>
      <c r="C250" s="20">
        <v>8</v>
      </c>
      <c r="D250" s="21">
        <v>3.95</v>
      </c>
      <c r="E250" s="22">
        <v>1.37</v>
      </c>
      <c r="F250" s="22">
        <v>2.88</v>
      </c>
      <c r="G250" s="22">
        <v>10.4</v>
      </c>
      <c r="H250" s="16"/>
    </row>
    <row r="251" spans="1:8" ht="16" x14ac:dyDescent="0.2">
      <c r="A251" s="19" t="s">
        <v>27</v>
      </c>
      <c r="B251" s="20" t="s">
        <v>12</v>
      </c>
      <c r="C251" s="20">
        <v>9</v>
      </c>
      <c r="D251" s="21">
        <v>3.95</v>
      </c>
      <c r="E251" s="22">
        <v>1.42</v>
      </c>
      <c r="F251" s="22">
        <v>2.78</v>
      </c>
      <c r="G251" s="22">
        <v>10</v>
      </c>
      <c r="H251" s="16"/>
    </row>
    <row r="252" spans="1:8" ht="16" x14ac:dyDescent="0.2">
      <c r="A252" s="19" t="s">
        <v>27</v>
      </c>
      <c r="B252" s="20" t="s">
        <v>12</v>
      </c>
      <c r="C252" s="20">
        <v>10</v>
      </c>
      <c r="D252" s="21">
        <v>3.95</v>
      </c>
      <c r="E252" s="22">
        <v>1.37</v>
      </c>
      <c r="F252" s="22">
        <v>2.88</v>
      </c>
      <c r="G252" s="22">
        <v>10.4</v>
      </c>
      <c r="H252" s="16"/>
    </row>
    <row r="253" spans="1:8" ht="16" x14ac:dyDescent="0.2">
      <c r="A253" s="19" t="s">
        <v>27</v>
      </c>
      <c r="B253" s="20" t="s">
        <v>12</v>
      </c>
      <c r="C253" s="20">
        <v>11</v>
      </c>
      <c r="D253" s="21">
        <v>3.95</v>
      </c>
      <c r="E253" s="22">
        <v>1.35</v>
      </c>
      <c r="F253" s="22">
        <v>2.93</v>
      </c>
      <c r="G253" s="22">
        <v>10.5</v>
      </c>
      <c r="H253" s="16"/>
    </row>
    <row r="254" spans="1:8" ht="16" x14ac:dyDescent="0.2">
      <c r="A254" s="19" t="s">
        <v>27</v>
      </c>
      <c r="B254" s="20" t="s">
        <v>13</v>
      </c>
      <c r="C254" s="20">
        <v>1</v>
      </c>
      <c r="D254" s="21">
        <v>3.95</v>
      </c>
      <c r="E254" s="22">
        <v>1.0900000000000001</v>
      </c>
      <c r="F254" s="22">
        <v>3.62</v>
      </c>
      <c r="G254" s="22">
        <v>13</v>
      </c>
      <c r="H254" s="16"/>
    </row>
    <row r="255" spans="1:8" ht="16" x14ac:dyDescent="0.2">
      <c r="A255" s="19" t="s">
        <v>27</v>
      </c>
      <c r="B255" s="20" t="s">
        <v>13</v>
      </c>
      <c r="C255" s="20">
        <v>2</v>
      </c>
      <c r="D255" s="21">
        <v>3.95</v>
      </c>
      <c r="E255" s="22">
        <v>1.01</v>
      </c>
      <c r="F255" s="22">
        <v>3.91</v>
      </c>
      <c r="G255" s="22">
        <v>14.1</v>
      </c>
      <c r="H255" s="16"/>
    </row>
    <row r="256" spans="1:8" ht="16" x14ac:dyDescent="0.2">
      <c r="A256" s="19" t="s">
        <v>27</v>
      </c>
      <c r="B256" s="20" t="s">
        <v>13</v>
      </c>
      <c r="C256" s="20">
        <v>3</v>
      </c>
      <c r="D256" s="21">
        <v>3.95</v>
      </c>
      <c r="E256" s="22">
        <v>1.0900000000000001</v>
      </c>
      <c r="F256" s="22">
        <v>3.62</v>
      </c>
      <c r="G256" s="22">
        <v>13</v>
      </c>
      <c r="H256" s="16"/>
    </row>
    <row r="257" spans="1:8" ht="16" x14ac:dyDescent="0.2">
      <c r="A257" s="19" t="s">
        <v>27</v>
      </c>
      <c r="B257" s="20" t="s">
        <v>13</v>
      </c>
      <c r="C257" s="20">
        <v>4</v>
      </c>
      <c r="D257" s="21">
        <v>3.95</v>
      </c>
      <c r="E257" s="22">
        <v>1.03</v>
      </c>
      <c r="F257" s="22">
        <v>3.83</v>
      </c>
      <c r="G257" s="22">
        <v>13.8</v>
      </c>
      <c r="H257" s="16"/>
    </row>
    <row r="258" spans="1:8" ht="16" x14ac:dyDescent="0.2">
      <c r="A258" s="19" t="s">
        <v>27</v>
      </c>
      <c r="B258" s="20" t="s">
        <v>13</v>
      </c>
      <c r="C258" s="20">
        <v>5</v>
      </c>
      <c r="D258" s="21">
        <v>3.95</v>
      </c>
      <c r="E258" s="22">
        <v>1.02</v>
      </c>
      <c r="F258" s="22">
        <v>3.87</v>
      </c>
      <c r="G258" s="22">
        <v>13.9</v>
      </c>
      <c r="H258" s="16"/>
    </row>
    <row r="259" spans="1:8" ht="16" x14ac:dyDescent="0.2">
      <c r="A259" s="19" t="s">
        <v>27</v>
      </c>
      <c r="B259" s="20" t="s">
        <v>13</v>
      </c>
      <c r="C259" s="20">
        <v>6</v>
      </c>
      <c r="D259" s="21">
        <v>3.95</v>
      </c>
      <c r="E259" s="22">
        <v>1.18</v>
      </c>
      <c r="F259" s="22">
        <v>3.35</v>
      </c>
      <c r="G259" s="22">
        <v>12.1</v>
      </c>
      <c r="H259" s="16"/>
    </row>
    <row r="260" spans="1:8" ht="16" x14ac:dyDescent="0.2">
      <c r="A260" s="19" t="s">
        <v>27</v>
      </c>
      <c r="B260" s="20" t="s">
        <v>13</v>
      </c>
      <c r="C260" s="20">
        <v>7</v>
      </c>
      <c r="D260" s="21">
        <v>3.95</v>
      </c>
      <c r="E260" s="22">
        <v>1.17</v>
      </c>
      <c r="F260" s="22">
        <v>3.38</v>
      </c>
      <c r="G260" s="22">
        <v>12.2</v>
      </c>
      <c r="H260" s="16"/>
    </row>
    <row r="261" spans="1:8" ht="16" x14ac:dyDescent="0.2">
      <c r="A261" s="13" t="s">
        <v>28</v>
      </c>
      <c r="B261" s="2" t="s">
        <v>11</v>
      </c>
      <c r="C261" s="2">
        <v>1</v>
      </c>
      <c r="D261" s="18">
        <v>3.73</v>
      </c>
      <c r="E261" s="18">
        <v>2.78</v>
      </c>
      <c r="F261" s="18">
        <f t="shared" ref="F261:F271" si="11">D261/E261</f>
        <v>1.3417266187050361</v>
      </c>
      <c r="G261" s="17">
        <f t="shared" ref="G261:G309" si="12">F261*3.6</f>
        <v>4.8302158273381304</v>
      </c>
      <c r="H261" s="16" t="s">
        <v>37</v>
      </c>
    </row>
    <row r="262" spans="1:8" ht="16" x14ac:dyDescent="0.2">
      <c r="A262" s="13" t="s">
        <v>28</v>
      </c>
      <c r="B262" s="2" t="s">
        <v>11</v>
      </c>
      <c r="C262" s="2">
        <v>2</v>
      </c>
      <c r="D262" s="18">
        <v>3.73</v>
      </c>
      <c r="E262" s="18">
        <v>3.05</v>
      </c>
      <c r="F262" s="18">
        <f t="shared" si="11"/>
        <v>1.2229508196721313</v>
      </c>
      <c r="G262" s="17">
        <f t="shared" si="12"/>
        <v>4.4026229508196728</v>
      </c>
      <c r="H262" s="16"/>
    </row>
    <row r="263" spans="1:8" ht="16" x14ac:dyDescent="0.2">
      <c r="A263" s="13" t="s">
        <v>28</v>
      </c>
      <c r="B263" s="2" t="s">
        <v>11</v>
      </c>
      <c r="C263" s="2">
        <v>3</v>
      </c>
      <c r="D263" s="18">
        <v>3.73</v>
      </c>
      <c r="E263" s="18">
        <v>2.75</v>
      </c>
      <c r="F263" s="18">
        <f t="shared" si="11"/>
        <v>1.3563636363636364</v>
      </c>
      <c r="G263" s="17">
        <f t="shared" si="12"/>
        <v>4.8829090909090915</v>
      </c>
      <c r="H263" s="16"/>
    </row>
    <row r="264" spans="1:8" ht="16" x14ac:dyDescent="0.2">
      <c r="A264" s="13" t="s">
        <v>28</v>
      </c>
      <c r="B264" s="2" t="s">
        <v>11</v>
      </c>
      <c r="C264" s="2">
        <v>4</v>
      </c>
      <c r="D264" s="18">
        <v>3.73</v>
      </c>
      <c r="E264" s="18">
        <v>2.7</v>
      </c>
      <c r="F264" s="18">
        <f t="shared" si="11"/>
        <v>1.3814814814814813</v>
      </c>
      <c r="G264" s="17">
        <f t="shared" si="12"/>
        <v>4.9733333333333327</v>
      </c>
      <c r="H264" s="16"/>
    </row>
    <row r="265" spans="1:8" ht="16" x14ac:dyDescent="0.2">
      <c r="A265" s="13" t="s">
        <v>28</v>
      </c>
      <c r="B265" s="2" t="s">
        <v>11</v>
      </c>
      <c r="C265" s="2">
        <v>5</v>
      </c>
      <c r="D265" s="18">
        <v>3.73</v>
      </c>
      <c r="E265" s="18">
        <v>2.97</v>
      </c>
      <c r="F265" s="18">
        <f t="shared" si="11"/>
        <v>1.2558922558922558</v>
      </c>
      <c r="G265" s="17">
        <f t="shared" si="12"/>
        <v>4.5212121212121215</v>
      </c>
      <c r="H265" s="16"/>
    </row>
    <row r="266" spans="1:8" ht="16" x14ac:dyDescent="0.2">
      <c r="A266" s="13" t="s">
        <v>28</v>
      </c>
      <c r="B266" s="2" t="s">
        <v>11</v>
      </c>
      <c r="C266" s="2">
        <v>6</v>
      </c>
      <c r="D266" s="18">
        <v>3.73</v>
      </c>
      <c r="E266" s="18">
        <v>2.76</v>
      </c>
      <c r="F266" s="18">
        <f t="shared" si="11"/>
        <v>1.3514492753623188</v>
      </c>
      <c r="G266" s="17">
        <f t="shared" si="12"/>
        <v>4.8652173913043484</v>
      </c>
      <c r="H266" s="16"/>
    </row>
    <row r="267" spans="1:8" ht="16" x14ac:dyDescent="0.2">
      <c r="A267" s="13" t="s">
        <v>28</v>
      </c>
      <c r="B267" s="2" t="s">
        <v>12</v>
      </c>
      <c r="C267" s="2">
        <v>1</v>
      </c>
      <c r="D267" s="18">
        <v>3.73</v>
      </c>
      <c r="E267" s="18">
        <v>1.96</v>
      </c>
      <c r="F267" s="18">
        <f t="shared" si="11"/>
        <v>1.903061224489796</v>
      </c>
      <c r="G267" s="17">
        <f t="shared" si="12"/>
        <v>6.851020408163266</v>
      </c>
      <c r="H267" s="16"/>
    </row>
    <row r="268" spans="1:8" ht="16" x14ac:dyDescent="0.2">
      <c r="A268" s="13" t="s">
        <v>28</v>
      </c>
      <c r="B268" s="2" t="s">
        <v>12</v>
      </c>
      <c r="C268" s="2">
        <v>2</v>
      </c>
      <c r="D268" s="18">
        <v>3.73</v>
      </c>
      <c r="E268" s="18">
        <v>1.83</v>
      </c>
      <c r="F268" s="18">
        <f t="shared" si="11"/>
        <v>2.0382513661202184</v>
      </c>
      <c r="G268" s="17">
        <f t="shared" si="12"/>
        <v>7.3377049180327862</v>
      </c>
      <c r="H268" s="16"/>
    </row>
    <row r="269" spans="1:8" ht="16" x14ac:dyDescent="0.2">
      <c r="A269" s="13" t="s">
        <v>28</v>
      </c>
      <c r="B269" s="2" t="s">
        <v>12</v>
      </c>
      <c r="C269" s="2">
        <v>3</v>
      </c>
      <c r="D269" s="18">
        <v>3.73</v>
      </c>
      <c r="E269" s="18">
        <v>1.84</v>
      </c>
      <c r="F269" s="18">
        <f t="shared" si="11"/>
        <v>2.027173913043478</v>
      </c>
      <c r="G269" s="17">
        <f t="shared" si="12"/>
        <v>7.2978260869565208</v>
      </c>
      <c r="H269" s="16"/>
    </row>
    <row r="270" spans="1:8" ht="16" x14ac:dyDescent="0.2">
      <c r="A270" s="13" t="s">
        <v>28</v>
      </c>
      <c r="B270" s="2" t="s">
        <v>12</v>
      </c>
      <c r="C270" s="2">
        <v>4</v>
      </c>
      <c r="D270" s="18">
        <v>3.73</v>
      </c>
      <c r="E270" s="18">
        <v>1.87</v>
      </c>
      <c r="F270" s="18">
        <f t="shared" si="11"/>
        <v>1.9946524064171123</v>
      </c>
      <c r="G270" s="17">
        <f t="shared" si="12"/>
        <v>7.1807486631016042</v>
      </c>
      <c r="H270" s="16"/>
    </row>
    <row r="271" spans="1:8" ht="16" x14ac:dyDescent="0.2">
      <c r="A271" s="13" t="s">
        <v>28</v>
      </c>
      <c r="B271" s="2" t="s">
        <v>12</v>
      </c>
      <c r="C271" s="2">
        <v>5</v>
      </c>
      <c r="D271" s="18">
        <v>3.73</v>
      </c>
      <c r="E271" s="18">
        <v>1.92</v>
      </c>
      <c r="F271" s="18">
        <f t="shared" si="11"/>
        <v>1.9427083333333335</v>
      </c>
      <c r="G271" s="17">
        <f t="shared" si="12"/>
        <v>6.9937500000000004</v>
      </c>
      <c r="H271" s="16"/>
    </row>
    <row r="272" spans="1:8" ht="16" x14ac:dyDescent="0.2">
      <c r="A272" s="13" t="s">
        <v>28</v>
      </c>
      <c r="B272" s="2" t="s">
        <v>12</v>
      </c>
      <c r="C272" s="2">
        <v>6</v>
      </c>
      <c r="D272" s="18">
        <v>3.73</v>
      </c>
      <c r="E272" s="18">
        <v>2.0099999999999998</v>
      </c>
      <c r="F272" s="18">
        <f t="shared" ref="F272:F303" si="13">D272/E272</f>
        <v>1.855721393034826</v>
      </c>
      <c r="G272" s="17">
        <f t="shared" si="12"/>
        <v>6.6805970149253735</v>
      </c>
      <c r="H272" s="16"/>
    </row>
    <row r="273" spans="1:8" ht="16" x14ac:dyDescent="0.2">
      <c r="A273" s="13" t="s">
        <v>28</v>
      </c>
      <c r="B273" s="2" t="s">
        <v>13</v>
      </c>
      <c r="C273" s="2">
        <v>2</v>
      </c>
      <c r="D273" s="18">
        <v>3.73</v>
      </c>
      <c r="E273" s="18">
        <v>1.35</v>
      </c>
      <c r="F273" s="18">
        <f t="shared" si="13"/>
        <v>2.7629629629629626</v>
      </c>
      <c r="G273" s="17">
        <f t="shared" si="12"/>
        <v>9.9466666666666654</v>
      </c>
      <c r="H273" s="16"/>
    </row>
    <row r="274" spans="1:8" ht="16" x14ac:dyDescent="0.2">
      <c r="A274" s="13" t="s">
        <v>28</v>
      </c>
      <c r="B274" s="2" t="s">
        <v>13</v>
      </c>
      <c r="C274" s="2">
        <v>3</v>
      </c>
      <c r="D274" s="18">
        <v>3.73</v>
      </c>
      <c r="E274" s="18">
        <v>1.43</v>
      </c>
      <c r="F274" s="18">
        <f t="shared" si="13"/>
        <v>2.6083916083916083</v>
      </c>
      <c r="G274" s="17">
        <f t="shared" si="12"/>
        <v>9.3902097902097896</v>
      </c>
      <c r="H274" s="16"/>
    </row>
    <row r="275" spans="1:8" ht="16" x14ac:dyDescent="0.2">
      <c r="A275" s="13" t="s">
        <v>28</v>
      </c>
      <c r="B275" s="2" t="s">
        <v>13</v>
      </c>
      <c r="C275" s="2">
        <v>4</v>
      </c>
      <c r="D275" s="18">
        <v>3.73</v>
      </c>
      <c r="E275" s="18">
        <v>1.34</v>
      </c>
      <c r="F275" s="18">
        <f t="shared" si="13"/>
        <v>2.7835820895522385</v>
      </c>
      <c r="G275" s="17">
        <f t="shared" si="12"/>
        <v>10.020895522388059</v>
      </c>
      <c r="H275" s="16"/>
    </row>
    <row r="276" spans="1:8" ht="16" x14ac:dyDescent="0.2">
      <c r="A276" s="13" t="s">
        <v>28</v>
      </c>
      <c r="B276" s="2" t="s">
        <v>13</v>
      </c>
      <c r="C276" s="2">
        <v>5</v>
      </c>
      <c r="D276" s="18">
        <v>3.73</v>
      </c>
      <c r="E276" s="18">
        <v>1.42</v>
      </c>
      <c r="F276" s="18">
        <f t="shared" si="13"/>
        <v>2.626760563380282</v>
      </c>
      <c r="G276" s="17">
        <f t="shared" si="12"/>
        <v>9.4563380281690161</v>
      </c>
      <c r="H276" s="16"/>
    </row>
    <row r="277" spans="1:8" ht="16" x14ac:dyDescent="0.2">
      <c r="A277" s="13" t="s">
        <v>28</v>
      </c>
      <c r="B277" s="2" t="s">
        <v>13</v>
      </c>
      <c r="C277" s="2">
        <v>6</v>
      </c>
      <c r="D277" s="18">
        <v>3.73</v>
      </c>
      <c r="E277" s="18">
        <v>1.46</v>
      </c>
      <c r="F277" s="18">
        <f t="shared" si="13"/>
        <v>2.5547945205479454</v>
      </c>
      <c r="G277" s="17">
        <f t="shared" si="12"/>
        <v>9.1972602739726046</v>
      </c>
      <c r="H277" s="16"/>
    </row>
    <row r="278" spans="1:8" ht="16" x14ac:dyDescent="0.2">
      <c r="A278" s="13" t="s">
        <v>28</v>
      </c>
      <c r="B278" s="2" t="s">
        <v>13</v>
      </c>
      <c r="C278" s="2">
        <v>7</v>
      </c>
      <c r="D278" s="18">
        <v>3.73</v>
      </c>
      <c r="E278" s="18">
        <v>1.57</v>
      </c>
      <c r="F278" s="18">
        <f t="shared" si="13"/>
        <v>2.3757961783439487</v>
      </c>
      <c r="G278" s="17">
        <f t="shared" si="12"/>
        <v>8.5528662420382151</v>
      </c>
      <c r="H278" s="16"/>
    </row>
    <row r="279" spans="1:8" ht="16" x14ac:dyDescent="0.2">
      <c r="A279" s="13" t="s">
        <v>29</v>
      </c>
      <c r="B279" s="2" t="s">
        <v>11</v>
      </c>
      <c r="C279" s="2">
        <v>2</v>
      </c>
      <c r="D279" s="18">
        <v>3.73</v>
      </c>
      <c r="E279" s="18">
        <v>2.62</v>
      </c>
      <c r="F279" s="18">
        <f t="shared" si="13"/>
        <v>1.4236641221374045</v>
      </c>
      <c r="G279" s="17">
        <f t="shared" si="12"/>
        <v>5.1251908396946559</v>
      </c>
      <c r="H279" s="16" t="s">
        <v>39</v>
      </c>
    </row>
    <row r="280" spans="1:8" ht="16" x14ac:dyDescent="0.2">
      <c r="A280" s="13" t="s">
        <v>29</v>
      </c>
      <c r="B280" s="2" t="s">
        <v>11</v>
      </c>
      <c r="C280" s="2">
        <v>3</v>
      </c>
      <c r="D280" s="18">
        <v>3.73</v>
      </c>
      <c r="E280" s="18">
        <v>2.8</v>
      </c>
      <c r="F280" s="18">
        <f t="shared" si="13"/>
        <v>1.3321428571428573</v>
      </c>
      <c r="G280" s="17">
        <f t="shared" si="12"/>
        <v>4.7957142857142863</v>
      </c>
      <c r="H280" s="16"/>
    </row>
    <row r="281" spans="1:8" ht="16" x14ac:dyDescent="0.2">
      <c r="A281" s="13" t="s">
        <v>29</v>
      </c>
      <c r="B281" s="2" t="s">
        <v>11</v>
      </c>
      <c r="C281" s="2">
        <v>4</v>
      </c>
      <c r="D281" s="18">
        <v>3.73</v>
      </c>
      <c r="E281" s="18">
        <v>2.8</v>
      </c>
      <c r="F281" s="18">
        <f t="shared" si="13"/>
        <v>1.3321428571428573</v>
      </c>
      <c r="G281" s="17">
        <f t="shared" si="12"/>
        <v>4.7957142857142863</v>
      </c>
      <c r="H281" s="16"/>
    </row>
    <row r="282" spans="1:8" ht="16" x14ac:dyDescent="0.2">
      <c r="A282" s="13" t="s">
        <v>29</v>
      </c>
      <c r="B282" s="2" t="s">
        <v>11</v>
      </c>
      <c r="C282" s="2">
        <v>5</v>
      </c>
      <c r="D282" s="18">
        <v>3.73</v>
      </c>
      <c r="E282" s="18">
        <v>2.4300000000000002</v>
      </c>
      <c r="F282" s="18">
        <f t="shared" si="13"/>
        <v>1.5349794238683125</v>
      </c>
      <c r="G282" s="17">
        <f t="shared" si="12"/>
        <v>5.5259259259259252</v>
      </c>
      <c r="H282" s="16"/>
    </row>
    <row r="283" spans="1:8" ht="16" x14ac:dyDescent="0.2">
      <c r="A283" s="13" t="s">
        <v>29</v>
      </c>
      <c r="B283" s="2" t="s">
        <v>11</v>
      </c>
      <c r="C283" s="2">
        <v>6</v>
      </c>
      <c r="D283" s="18">
        <v>3.73</v>
      </c>
      <c r="E283" s="18">
        <v>1.74</v>
      </c>
      <c r="F283" s="18">
        <f t="shared" si="13"/>
        <v>2.1436781609195403</v>
      </c>
      <c r="G283" s="17">
        <f t="shared" si="12"/>
        <v>7.7172413793103454</v>
      </c>
      <c r="H283" s="16"/>
    </row>
    <row r="284" spans="1:8" ht="16" x14ac:dyDescent="0.2">
      <c r="A284" s="13" t="s">
        <v>29</v>
      </c>
      <c r="B284" s="2" t="s">
        <v>11</v>
      </c>
      <c r="C284" s="2">
        <v>8</v>
      </c>
      <c r="D284" s="18">
        <v>3.73</v>
      </c>
      <c r="E284" s="18">
        <v>2.2999999999999998</v>
      </c>
      <c r="F284" s="18">
        <f t="shared" si="13"/>
        <v>1.6217391304347828</v>
      </c>
      <c r="G284" s="17">
        <f t="shared" si="12"/>
        <v>5.8382608695652181</v>
      </c>
      <c r="H284" s="16"/>
    </row>
    <row r="285" spans="1:8" ht="16" x14ac:dyDescent="0.2">
      <c r="A285" s="13" t="s">
        <v>29</v>
      </c>
      <c r="B285" s="2" t="s">
        <v>11</v>
      </c>
      <c r="C285" s="2">
        <v>9</v>
      </c>
      <c r="D285" s="18">
        <v>3.73</v>
      </c>
      <c r="E285" s="18">
        <v>2.42</v>
      </c>
      <c r="F285" s="18">
        <f t="shared" si="13"/>
        <v>1.5413223140495869</v>
      </c>
      <c r="G285" s="17">
        <f t="shared" si="12"/>
        <v>5.5487603305785127</v>
      </c>
      <c r="H285" s="16"/>
    </row>
    <row r="286" spans="1:8" ht="16" x14ac:dyDescent="0.2">
      <c r="A286" s="13" t="s">
        <v>29</v>
      </c>
      <c r="B286" s="2" t="s">
        <v>11</v>
      </c>
      <c r="C286" s="2">
        <v>10</v>
      </c>
      <c r="D286" s="18">
        <v>3.73</v>
      </c>
      <c r="E286" s="18">
        <v>2.42</v>
      </c>
      <c r="F286" s="18">
        <f t="shared" si="13"/>
        <v>1.5413223140495869</v>
      </c>
      <c r="G286" s="17">
        <f t="shared" si="12"/>
        <v>5.5487603305785127</v>
      </c>
      <c r="H286" s="16"/>
    </row>
    <row r="287" spans="1:8" ht="16" x14ac:dyDescent="0.2">
      <c r="A287" s="13" t="s">
        <v>29</v>
      </c>
      <c r="B287" s="2" t="s">
        <v>11</v>
      </c>
      <c r="C287" s="2">
        <v>11</v>
      </c>
      <c r="D287" s="18">
        <v>3.73</v>
      </c>
      <c r="E287" s="18">
        <v>2.37</v>
      </c>
      <c r="F287" s="18">
        <f t="shared" si="13"/>
        <v>1.5738396624472573</v>
      </c>
      <c r="G287" s="17">
        <f t="shared" si="12"/>
        <v>5.6658227848101266</v>
      </c>
      <c r="H287" s="16"/>
    </row>
    <row r="288" spans="1:8" ht="16" x14ac:dyDescent="0.2">
      <c r="A288" s="13" t="s">
        <v>29</v>
      </c>
      <c r="B288" s="2" t="s">
        <v>12</v>
      </c>
      <c r="C288" s="2">
        <v>1</v>
      </c>
      <c r="D288" s="18">
        <v>3.73</v>
      </c>
      <c r="E288" s="18">
        <v>1.31</v>
      </c>
      <c r="F288" s="18">
        <f t="shared" si="13"/>
        <v>2.8473282442748089</v>
      </c>
      <c r="G288" s="17">
        <f t="shared" si="12"/>
        <v>10.250381679389312</v>
      </c>
      <c r="H288" s="16"/>
    </row>
    <row r="289" spans="1:8" ht="16" x14ac:dyDescent="0.2">
      <c r="A289" s="13" t="s">
        <v>29</v>
      </c>
      <c r="B289" s="2" t="s">
        <v>12</v>
      </c>
      <c r="C289" s="2">
        <v>2</v>
      </c>
      <c r="D289" s="18">
        <v>3.73</v>
      </c>
      <c r="E289" s="18">
        <v>1.38</v>
      </c>
      <c r="F289" s="18">
        <f t="shared" si="13"/>
        <v>2.7028985507246377</v>
      </c>
      <c r="G289" s="17">
        <f t="shared" si="12"/>
        <v>9.7304347826086968</v>
      </c>
      <c r="H289" s="16"/>
    </row>
    <row r="290" spans="1:8" ht="16" x14ac:dyDescent="0.2">
      <c r="A290" s="13" t="s">
        <v>29</v>
      </c>
      <c r="B290" s="2" t="s">
        <v>12</v>
      </c>
      <c r="C290" s="2">
        <v>3</v>
      </c>
      <c r="D290" s="18">
        <v>3.73</v>
      </c>
      <c r="E290" s="18">
        <v>1.35</v>
      </c>
      <c r="F290" s="18">
        <f t="shared" si="13"/>
        <v>2.7629629629629626</v>
      </c>
      <c r="G290" s="17">
        <f t="shared" si="12"/>
        <v>9.9466666666666654</v>
      </c>
      <c r="H290" s="16"/>
    </row>
    <row r="291" spans="1:8" ht="16" x14ac:dyDescent="0.2">
      <c r="A291" s="13" t="s">
        <v>29</v>
      </c>
      <c r="B291" s="2" t="s">
        <v>12</v>
      </c>
      <c r="C291" s="2">
        <v>4</v>
      </c>
      <c r="D291" s="18">
        <v>3.73</v>
      </c>
      <c r="E291" s="18">
        <v>1.3</v>
      </c>
      <c r="F291" s="18">
        <f t="shared" si="13"/>
        <v>2.8692307692307693</v>
      </c>
      <c r="G291" s="17">
        <f t="shared" si="12"/>
        <v>10.329230769230769</v>
      </c>
      <c r="H291" s="16"/>
    </row>
    <row r="292" spans="1:8" ht="16" x14ac:dyDescent="0.2">
      <c r="A292" s="13" t="s">
        <v>29</v>
      </c>
      <c r="B292" s="2" t="s">
        <v>12</v>
      </c>
      <c r="C292" s="2">
        <v>5</v>
      </c>
      <c r="D292" s="18">
        <v>3.73</v>
      </c>
      <c r="E292" s="18">
        <v>1.35</v>
      </c>
      <c r="F292" s="18">
        <f t="shared" si="13"/>
        <v>2.7629629629629626</v>
      </c>
      <c r="G292" s="17">
        <f t="shared" si="12"/>
        <v>9.9466666666666654</v>
      </c>
      <c r="H292" s="16"/>
    </row>
    <row r="293" spans="1:8" ht="16" x14ac:dyDescent="0.2">
      <c r="A293" s="13" t="s">
        <v>29</v>
      </c>
      <c r="B293" s="2" t="s">
        <v>12</v>
      </c>
      <c r="C293" s="2">
        <v>6</v>
      </c>
      <c r="D293" s="18">
        <v>3.73</v>
      </c>
      <c r="E293" s="18">
        <v>1.31</v>
      </c>
      <c r="F293" s="18">
        <f t="shared" si="13"/>
        <v>2.8473282442748089</v>
      </c>
      <c r="G293" s="17">
        <f t="shared" si="12"/>
        <v>10.250381679389312</v>
      </c>
      <c r="H293" s="16"/>
    </row>
    <row r="294" spans="1:8" ht="16" x14ac:dyDescent="0.2">
      <c r="A294" s="13" t="s">
        <v>29</v>
      </c>
      <c r="B294" s="2" t="s">
        <v>12</v>
      </c>
      <c r="C294" s="2">
        <v>7</v>
      </c>
      <c r="D294" s="18">
        <v>3.73</v>
      </c>
      <c r="E294" s="18">
        <v>1.31</v>
      </c>
      <c r="F294" s="18">
        <f t="shared" si="13"/>
        <v>2.8473282442748089</v>
      </c>
      <c r="G294" s="17">
        <f t="shared" si="12"/>
        <v>10.250381679389312</v>
      </c>
      <c r="H294" s="16"/>
    </row>
    <row r="295" spans="1:8" ht="16" x14ac:dyDescent="0.2">
      <c r="A295" s="13" t="s">
        <v>29</v>
      </c>
      <c r="B295" s="2" t="s">
        <v>12</v>
      </c>
      <c r="C295" s="2">
        <v>8</v>
      </c>
      <c r="D295" s="18">
        <v>3.73</v>
      </c>
      <c r="E295" s="18">
        <v>1.34</v>
      </c>
      <c r="F295" s="18">
        <f t="shared" si="13"/>
        <v>2.7835820895522385</v>
      </c>
      <c r="G295" s="17">
        <f t="shared" si="12"/>
        <v>10.020895522388059</v>
      </c>
      <c r="H295" s="16"/>
    </row>
    <row r="296" spans="1:8" ht="16" x14ac:dyDescent="0.2">
      <c r="A296" s="13" t="s">
        <v>29</v>
      </c>
      <c r="B296" s="2" t="s">
        <v>12</v>
      </c>
      <c r="C296" s="2">
        <v>9</v>
      </c>
      <c r="D296" s="18">
        <v>3.73</v>
      </c>
      <c r="E296" s="18">
        <v>1.34</v>
      </c>
      <c r="F296" s="18">
        <f t="shared" si="13"/>
        <v>2.7835820895522385</v>
      </c>
      <c r="G296" s="17">
        <f t="shared" si="12"/>
        <v>10.020895522388059</v>
      </c>
      <c r="H296" s="16"/>
    </row>
    <row r="297" spans="1:8" ht="16" x14ac:dyDescent="0.2">
      <c r="A297" s="13" t="s">
        <v>29</v>
      </c>
      <c r="B297" s="2" t="s">
        <v>12</v>
      </c>
      <c r="C297" s="2">
        <v>10</v>
      </c>
      <c r="D297" s="18">
        <v>3.73</v>
      </c>
      <c r="E297" s="18">
        <v>1.32</v>
      </c>
      <c r="F297" s="18">
        <f t="shared" si="13"/>
        <v>2.8257575757575757</v>
      </c>
      <c r="G297" s="17">
        <f t="shared" si="12"/>
        <v>10.172727272727272</v>
      </c>
      <c r="H297" s="16"/>
    </row>
    <row r="298" spans="1:8" ht="16" x14ac:dyDescent="0.2">
      <c r="A298" s="13" t="s">
        <v>29</v>
      </c>
      <c r="B298" s="2" t="s">
        <v>12</v>
      </c>
      <c r="C298" s="2">
        <v>11</v>
      </c>
      <c r="D298" s="18">
        <v>3.73</v>
      </c>
      <c r="E298" s="18">
        <v>1.22</v>
      </c>
      <c r="F298" s="18">
        <f t="shared" si="13"/>
        <v>3.057377049180328</v>
      </c>
      <c r="G298" s="17">
        <f t="shared" si="12"/>
        <v>11.006557377049182</v>
      </c>
      <c r="H298" s="16"/>
    </row>
    <row r="299" spans="1:8" ht="16" x14ac:dyDescent="0.2">
      <c r="A299" s="13" t="s">
        <v>29</v>
      </c>
      <c r="B299" s="2" t="s">
        <v>13</v>
      </c>
      <c r="C299" s="2">
        <v>1</v>
      </c>
      <c r="D299" s="18">
        <v>3.73</v>
      </c>
      <c r="E299" s="18">
        <v>1.24</v>
      </c>
      <c r="F299" s="18">
        <f t="shared" si="13"/>
        <v>3.0080645161290325</v>
      </c>
      <c r="G299" s="17">
        <f t="shared" si="12"/>
        <v>10.829032258064517</v>
      </c>
      <c r="H299" s="16"/>
    </row>
    <row r="300" spans="1:8" ht="16" x14ac:dyDescent="0.2">
      <c r="A300" s="13" t="s">
        <v>29</v>
      </c>
      <c r="B300" s="2" t="s">
        <v>13</v>
      </c>
      <c r="C300" s="2">
        <v>2</v>
      </c>
      <c r="D300" s="18">
        <v>3.73</v>
      </c>
      <c r="E300" s="18">
        <v>1.31</v>
      </c>
      <c r="F300" s="18">
        <f t="shared" si="13"/>
        <v>2.8473282442748089</v>
      </c>
      <c r="G300" s="17">
        <f t="shared" si="12"/>
        <v>10.250381679389312</v>
      </c>
      <c r="H300" s="16"/>
    </row>
    <row r="301" spans="1:8" ht="16" x14ac:dyDescent="0.2">
      <c r="A301" s="13" t="s">
        <v>29</v>
      </c>
      <c r="B301" s="2" t="s">
        <v>13</v>
      </c>
      <c r="C301" s="2">
        <v>3</v>
      </c>
      <c r="D301" s="18">
        <v>3.73</v>
      </c>
      <c r="E301" s="18">
        <v>1.27</v>
      </c>
      <c r="F301" s="18">
        <f t="shared" si="13"/>
        <v>2.9370078740157481</v>
      </c>
      <c r="G301" s="17">
        <f t="shared" si="12"/>
        <v>10.573228346456693</v>
      </c>
      <c r="H301" s="16"/>
    </row>
    <row r="302" spans="1:8" ht="16" x14ac:dyDescent="0.2">
      <c r="A302" s="13" t="s">
        <v>29</v>
      </c>
      <c r="B302" s="2" t="s">
        <v>13</v>
      </c>
      <c r="C302" s="2">
        <v>4</v>
      </c>
      <c r="D302" s="18">
        <v>3.73</v>
      </c>
      <c r="E302" s="18">
        <v>1.22</v>
      </c>
      <c r="F302" s="18">
        <f t="shared" si="13"/>
        <v>3.057377049180328</v>
      </c>
      <c r="G302" s="17">
        <f t="shared" si="12"/>
        <v>11.006557377049182</v>
      </c>
      <c r="H302" s="16"/>
    </row>
    <row r="303" spans="1:8" ht="16" x14ac:dyDescent="0.2">
      <c r="A303" s="13" t="s">
        <v>29</v>
      </c>
      <c r="B303" s="2" t="s">
        <v>13</v>
      </c>
      <c r="C303" s="2">
        <v>5</v>
      </c>
      <c r="D303" s="18">
        <v>3.73</v>
      </c>
      <c r="E303" s="18">
        <v>1.31</v>
      </c>
      <c r="F303" s="18">
        <f t="shared" si="13"/>
        <v>2.8473282442748089</v>
      </c>
      <c r="G303" s="17">
        <f t="shared" si="12"/>
        <v>10.250381679389312</v>
      </c>
      <c r="H303" s="16"/>
    </row>
    <row r="304" spans="1:8" ht="16" x14ac:dyDescent="0.2">
      <c r="A304" s="13" t="s">
        <v>29</v>
      </c>
      <c r="B304" s="2" t="s">
        <v>13</v>
      </c>
      <c r="C304" s="2">
        <v>6</v>
      </c>
      <c r="D304" s="18">
        <v>3.73</v>
      </c>
      <c r="E304" s="18">
        <v>1.25</v>
      </c>
      <c r="F304" s="18">
        <f t="shared" ref="F304:F309" si="14">D304/E304</f>
        <v>2.984</v>
      </c>
      <c r="G304" s="17">
        <f t="shared" si="12"/>
        <v>10.7424</v>
      </c>
      <c r="H304" s="16"/>
    </row>
    <row r="305" spans="1:8" ht="16" x14ac:dyDescent="0.2">
      <c r="A305" s="13" t="s">
        <v>29</v>
      </c>
      <c r="B305" s="2" t="s">
        <v>13</v>
      </c>
      <c r="C305" s="2">
        <v>7</v>
      </c>
      <c r="D305" s="18">
        <v>3.73</v>
      </c>
      <c r="E305" s="18">
        <v>1.21</v>
      </c>
      <c r="F305" s="18">
        <f t="shared" si="14"/>
        <v>3.0826446280991737</v>
      </c>
      <c r="G305" s="17">
        <f t="shared" si="12"/>
        <v>11.097520661157025</v>
      </c>
      <c r="H305" s="16"/>
    </row>
    <row r="306" spans="1:8" ht="16" x14ac:dyDescent="0.2">
      <c r="A306" s="13" t="s">
        <v>29</v>
      </c>
      <c r="B306" s="2" t="s">
        <v>13</v>
      </c>
      <c r="C306" s="2">
        <v>8</v>
      </c>
      <c r="D306" s="18">
        <v>3.73</v>
      </c>
      <c r="E306" s="18">
        <v>1.21</v>
      </c>
      <c r="F306" s="18">
        <f t="shared" si="14"/>
        <v>3.0826446280991737</v>
      </c>
      <c r="G306" s="17">
        <f t="shared" si="12"/>
        <v>11.097520661157025</v>
      </c>
      <c r="H306" s="16"/>
    </row>
    <row r="307" spans="1:8" ht="16" x14ac:dyDescent="0.2">
      <c r="A307" s="13" t="s">
        <v>29</v>
      </c>
      <c r="B307" s="2" t="s">
        <v>13</v>
      </c>
      <c r="C307" s="2">
        <v>9</v>
      </c>
      <c r="D307" s="18">
        <v>3.73</v>
      </c>
      <c r="E307" s="18">
        <v>1.2</v>
      </c>
      <c r="F307" s="18">
        <f t="shared" si="14"/>
        <v>3.1083333333333334</v>
      </c>
      <c r="G307" s="17">
        <f t="shared" si="12"/>
        <v>11.190000000000001</v>
      </c>
      <c r="H307" s="16"/>
    </row>
    <row r="308" spans="1:8" ht="16" x14ac:dyDescent="0.2">
      <c r="A308" s="13" t="s">
        <v>29</v>
      </c>
      <c r="B308" s="2" t="s">
        <v>13</v>
      </c>
      <c r="C308" s="2">
        <v>10</v>
      </c>
      <c r="D308" s="18">
        <v>3.73</v>
      </c>
      <c r="E308" s="18">
        <v>1.19</v>
      </c>
      <c r="F308" s="18">
        <f t="shared" si="14"/>
        <v>3.134453781512605</v>
      </c>
      <c r="G308" s="17">
        <f t="shared" si="12"/>
        <v>11.284033613445379</v>
      </c>
      <c r="H308" s="16"/>
    </row>
    <row r="309" spans="1:8" ht="16" x14ac:dyDescent="0.2">
      <c r="A309" s="13" t="s">
        <v>29</v>
      </c>
      <c r="B309" s="2" t="s">
        <v>13</v>
      </c>
      <c r="C309" s="2">
        <v>11</v>
      </c>
      <c r="D309" s="18">
        <v>3.73</v>
      </c>
      <c r="E309" s="18">
        <v>1.1299999999999999</v>
      </c>
      <c r="F309" s="18">
        <f t="shared" si="14"/>
        <v>3.3008849557522129</v>
      </c>
      <c r="G309" s="17">
        <f t="shared" si="12"/>
        <v>11.883185840707966</v>
      </c>
      <c r="H309" s="16"/>
    </row>
    <row r="310" spans="1:8" x14ac:dyDescent="0.2">
      <c r="A310" s="16"/>
      <c r="B310" s="16"/>
      <c r="C310" s="16"/>
      <c r="D310" s="18"/>
      <c r="E310" s="18"/>
      <c r="F310" s="18"/>
      <c r="G310" s="17"/>
      <c r="H310" s="16"/>
    </row>
    <row r="311" spans="1:8" x14ac:dyDescent="0.2">
      <c r="A311" s="16"/>
      <c r="B311" s="16"/>
      <c r="C311" s="16"/>
      <c r="D311" s="18"/>
      <c r="E311" s="18"/>
      <c r="F311" s="18"/>
      <c r="G311" s="17"/>
      <c r="H311" s="16"/>
    </row>
    <row r="312" spans="1:8" x14ac:dyDescent="0.2">
      <c r="A312" s="16"/>
      <c r="B312" s="16"/>
      <c r="C312" s="16"/>
      <c r="D312" s="18"/>
      <c r="E312" s="18"/>
      <c r="F312" s="18"/>
      <c r="G312" s="17"/>
      <c r="H312" s="16"/>
    </row>
    <row r="313" spans="1:8" x14ac:dyDescent="0.2">
      <c r="A313" s="16"/>
      <c r="B313" s="16"/>
      <c r="C313" s="16"/>
      <c r="D313" s="18"/>
      <c r="E313" s="18"/>
      <c r="F313" s="18"/>
      <c r="G313" s="17"/>
      <c r="H313" s="16"/>
    </row>
    <row r="314" spans="1:8" x14ac:dyDescent="0.2">
      <c r="A314" s="16"/>
      <c r="B314" s="16"/>
      <c r="C314" s="16"/>
      <c r="D314" s="18"/>
      <c r="E314" s="18"/>
      <c r="F314" s="18"/>
      <c r="G314" s="17"/>
      <c r="H314" s="16"/>
    </row>
    <row r="315" spans="1:8" x14ac:dyDescent="0.2">
      <c r="A315" s="16"/>
      <c r="B315" s="16"/>
      <c r="C315" s="16"/>
      <c r="D315" s="18"/>
      <c r="E315" s="18"/>
      <c r="F315" s="18"/>
      <c r="G315" s="17"/>
      <c r="H315" s="16"/>
    </row>
    <row r="316" spans="1:8" x14ac:dyDescent="0.2">
      <c r="A316" s="16"/>
      <c r="B316" s="16"/>
      <c r="C316" s="16"/>
      <c r="D316" s="18"/>
      <c r="E316" s="18"/>
      <c r="F316" s="18"/>
      <c r="G316" s="17"/>
      <c r="H316" s="16"/>
    </row>
    <row r="317" spans="1:8" x14ac:dyDescent="0.2">
      <c r="A317" s="16"/>
      <c r="B317" s="16"/>
      <c r="C317" s="16"/>
      <c r="D317" s="18"/>
      <c r="E317" s="18"/>
      <c r="F317" s="18"/>
      <c r="G317" s="17"/>
      <c r="H317" s="16"/>
    </row>
    <row r="318" spans="1:8" x14ac:dyDescent="0.2">
      <c r="A318" s="16"/>
      <c r="B318" s="16"/>
      <c r="C318" s="16"/>
      <c r="D318" s="18"/>
      <c r="E318" s="18"/>
      <c r="F318" s="18"/>
      <c r="G318" s="17"/>
      <c r="H318" s="16"/>
    </row>
    <row r="319" spans="1:8" x14ac:dyDescent="0.2">
      <c r="A319" s="16"/>
      <c r="B319" s="16"/>
      <c r="C319" s="16"/>
      <c r="D319" s="18"/>
      <c r="E319" s="18"/>
      <c r="F319" s="18"/>
      <c r="G319" s="17"/>
      <c r="H319" s="16"/>
    </row>
    <row r="320" spans="1:8" x14ac:dyDescent="0.2">
      <c r="B320" s="16"/>
      <c r="C320" s="16"/>
      <c r="D320" s="6"/>
      <c r="E320" s="6"/>
      <c r="F320" s="6"/>
      <c r="G320" s="7"/>
    </row>
    <row r="321" spans="2:7" x14ac:dyDescent="0.2">
      <c r="B321" s="16"/>
      <c r="D321" s="6"/>
      <c r="E321" s="6"/>
      <c r="F321" s="6"/>
      <c r="G321" s="7"/>
    </row>
    <row r="322" spans="2:7" x14ac:dyDescent="0.2">
      <c r="D322" s="6"/>
      <c r="E322" s="6"/>
      <c r="F322" s="6"/>
      <c r="G322" s="7"/>
    </row>
    <row r="323" spans="2:7" x14ac:dyDescent="0.2">
      <c r="D323" s="6"/>
      <c r="E323" s="6"/>
      <c r="F323" s="6"/>
      <c r="G323" s="7"/>
    </row>
    <row r="324" spans="2:7" x14ac:dyDescent="0.2">
      <c r="D324" s="6"/>
      <c r="E324" s="6"/>
      <c r="F324" s="6"/>
      <c r="G324" s="7"/>
    </row>
    <row r="325" spans="2:7" x14ac:dyDescent="0.2">
      <c r="D325" s="6"/>
      <c r="E325" s="6"/>
      <c r="F325" s="6"/>
      <c r="G325" s="7"/>
    </row>
    <row r="326" spans="2:7" x14ac:dyDescent="0.2">
      <c r="D326" s="6"/>
      <c r="E326" s="6"/>
      <c r="F326" s="6"/>
      <c r="G326" s="7"/>
    </row>
    <row r="327" spans="2:7" x14ac:dyDescent="0.2">
      <c r="D327" s="6"/>
      <c r="E327" s="6"/>
      <c r="F327" s="6"/>
      <c r="G327" s="7"/>
    </row>
    <row r="328" spans="2:7" x14ac:dyDescent="0.2">
      <c r="D328" s="6"/>
      <c r="E328" s="6"/>
      <c r="F328" s="6"/>
      <c r="G328" s="7"/>
    </row>
    <row r="329" spans="2:7" x14ac:dyDescent="0.2">
      <c r="D329" s="6"/>
      <c r="E329" s="6"/>
      <c r="F329" s="6"/>
      <c r="G329" s="7"/>
    </row>
    <row r="330" spans="2:7" x14ac:dyDescent="0.2">
      <c r="D330" s="6"/>
      <c r="E330" s="6"/>
      <c r="F330" s="6"/>
      <c r="G330" s="7"/>
    </row>
    <row r="331" spans="2:7" x14ac:dyDescent="0.2">
      <c r="D331" s="6"/>
      <c r="E331" s="6"/>
      <c r="F331" s="6"/>
      <c r="G331" s="7"/>
    </row>
    <row r="332" spans="2:7" x14ac:dyDescent="0.2">
      <c r="D332" s="6"/>
      <c r="E332" s="6"/>
      <c r="F332" s="6"/>
      <c r="G332" s="7"/>
    </row>
    <row r="333" spans="2:7" x14ac:dyDescent="0.2">
      <c r="D333" s="6"/>
      <c r="E333" s="6"/>
      <c r="F333" s="6"/>
      <c r="G333" s="7"/>
    </row>
    <row r="334" spans="2:7" x14ac:dyDescent="0.2">
      <c r="D334" s="6"/>
      <c r="E334" s="6"/>
      <c r="F334" s="6"/>
      <c r="G334" s="7"/>
    </row>
    <row r="335" spans="2:7" x14ac:dyDescent="0.2">
      <c r="D335" s="6"/>
      <c r="E335" s="6"/>
      <c r="F335" s="6"/>
      <c r="G335" s="7"/>
    </row>
    <row r="336" spans="2:7" x14ac:dyDescent="0.2">
      <c r="D336" s="6"/>
      <c r="E336" s="6"/>
      <c r="F336" s="6"/>
      <c r="G336" s="7"/>
    </row>
    <row r="337" spans="4:7" x14ac:dyDescent="0.2">
      <c r="D337" s="6"/>
      <c r="E337" s="6"/>
      <c r="F337" s="6"/>
      <c r="G337" s="7"/>
    </row>
    <row r="338" spans="4:7" x14ac:dyDescent="0.2">
      <c r="D338" s="6"/>
      <c r="E338" s="6"/>
      <c r="F338" s="6"/>
      <c r="G338" s="7"/>
    </row>
    <row r="339" spans="4:7" x14ac:dyDescent="0.2">
      <c r="D339" s="6"/>
      <c r="E339" s="6"/>
      <c r="F339" s="6"/>
      <c r="G339" s="7"/>
    </row>
    <row r="340" spans="4:7" x14ac:dyDescent="0.2">
      <c r="D340" s="6"/>
      <c r="E340" s="6"/>
      <c r="F340" s="6"/>
      <c r="G340" s="7"/>
    </row>
    <row r="341" spans="4:7" x14ac:dyDescent="0.2">
      <c r="D341" s="6"/>
      <c r="E341" s="6"/>
      <c r="F341" s="6"/>
      <c r="G341" s="7"/>
    </row>
    <row r="342" spans="4:7" x14ac:dyDescent="0.2">
      <c r="D342" s="6"/>
      <c r="E342" s="6"/>
      <c r="F342" s="6"/>
      <c r="G342" s="7"/>
    </row>
    <row r="343" spans="4:7" x14ac:dyDescent="0.2">
      <c r="D343" s="6"/>
      <c r="E343" s="6"/>
      <c r="F343" s="6"/>
      <c r="G343" s="7"/>
    </row>
    <row r="344" spans="4:7" x14ac:dyDescent="0.2">
      <c r="D344" s="6"/>
      <c r="E344" s="6"/>
      <c r="F344" s="6"/>
      <c r="G344" s="7"/>
    </row>
    <row r="345" spans="4:7" x14ac:dyDescent="0.2">
      <c r="D345" s="6"/>
      <c r="E345" s="6"/>
      <c r="F345" s="6"/>
      <c r="G345" s="7"/>
    </row>
    <row r="346" spans="4:7" x14ac:dyDescent="0.2">
      <c r="D346" s="6"/>
      <c r="E346" s="6"/>
      <c r="F346" s="6"/>
      <c r="G346" s="7"/>
    </row>
    <row r="347" spans="4:7" x14ac:dyDescent="0.2">
      <c r="D347" s="6"/>
      <c r="E347" s="6"/>
      <c r="F347" s="6"/>
      <c r="G347" s="7"/>
    </row>
    <row r="348" spans="4:7" x14ac:dyDescent="0.2">
      <c r="D348" s="6"/>
      <c r="E348" s="6"/>
      <c r="F348" s="6"/>
      <c r="G348" s="7"/>
    </row>
    <row r="349" spans="4:7" x14ac:dyDescent="0.2">
      <c r="D349" s="6"/>
      <c r="E349" s="6"/>
      <c r="F349" s="6"/>
      <c r="G349" s="7"/>
    </row>
    <row r="350" spans="4:7" x14ac:dyDescent="0.2">
      <c r="D350" s="6"/>
      <c r="E350" s="6"/>
      <c r="F350" s="6"/>
      <c r="G350" s="7"/>
    </row>
    <row r="351" spans="4:7" x14ac:dyDescent="0.2">
      <c r="D351" s="6"/>
      <c r="E351" s="6"/>
      <c r="F351" s="6"/>
      <c r="G351" s="7"/>
    </row>
    <row r="352" spans="4:7" x14ac:dyDescent="0.2">
      <c r="D352" s="6"/>
      <c r="E352" s="6"/>
      <c r="F352" s="6"/>
      <c r="G352" s="7"/>
    </row>
    <row r="353" spans="4:7" x14ac:dyDescent="0.2">
      <c r="D353" s="6"/>
      <c r="E353" s="6"/>
      <c r="F353" s="6"/>
      <c r="G353" s="7"/>
    </row>
    <row r="354" spans="4:7" x14ac:dyDescent="0.2">
      <c r="D354" s="6"/>
      <c r="E354" s="6"/>
      <c r="F354" s="6"/>
      <c r="G354" s="7"/>
    </row>
    <row r="355" spans="4:7" x14ac:dyDescent="0.2">
      <c r="D355" s="6"/>
      <c r="E355" s="6"/>
      <c r="F355" s="6"/>
      <c r="G355" s="7"/>
    </row>
    <row r="356" spans="4:7" x14ac:dyDescent="0.2">
      <c r="D356" s="6"/>
      <c r="E356" s="6"/>
      <c r="F356" s="6"/>
      <c r="G356" s="7"/>
    </row>
    <row r="357" spans="4:7" x14ac:dyDescent="0.2">
      <c r="D357" s="6"/>
      <c r="E357" s="6"/>
      <c r="F357" s="6"/>
      <c r="G357" s="7"/>
    </row>
    <row r="358" spans="4:7" x14ac:dyDescent="0.2">
      <c r="D358" s="6"/>
      <c r="E358" s="6"/>
      <c r="F358" s="6"/>
      <c r="G358" s="7"/>
    </row>
    <row r="359" spans="4:7" x14ac:dyDescent="0.2">
      <c r="D359" s="6"/>
      <c r="E359" s="6"/>
      <c r="F359" s="6"/>
      <c r="G359" s="7"/>
    </row>
    <row r="360" spans="4:7" x14ac:dyDescent="0.2">
      <c r="D360" s="6"/>
      <c r="E360" s="6"/>
      <c r="F360" s="6"/>
      <c r="G360" s="7"/>
    </row>
    <row r="361" spans="4:7" x14ac:dyDescent="0.2">
      <c r="D361" s="6"/>
      <c r="E361" s="6"/>
      <c r="F361" s="6"/>
      <c r="G361" s="7"/>
    </row>
    <row r="362" spans="4:7" x14ac:dyDescent="0.2">
      <c r="D362" s="6"/>
      <c r="E362" s="6"/>
      <c r="F362" s="6"/>
      <c r="G362" s="7"/>
    </row>
    <row r="363" spans="4:7" x14ac:dyDescent="0.2">
      <c r="D363" s="6"/>
      <c r="E363" s="6"/>
      <c r="F363" s="6"/>
      <c r="G363" s="7"/>
    </row>
    <row r="364" spans="4:7" x14ac:dyDescent="0.2">
      <c r="D364" s="6"/>
      <c r="E364" s="6"/>
      <c r="F364" s="6"/>
      <c r="G364" s="7"/>
    </row>
    <row r="365" spans="4:7" x14ac:dyDescent="0.2">
      <c r="D365" s="6"/>
      <c r="E365" s="6"/>
      <c r="F365" s="6"/>
      <c r="G365" s="7"/>
    </row>
    <row r="366" spans="4:7" x14ac:dyDescent="0.2">
      <c r="D366" s="6"/>
      <c r="E366" s="6"/>
      <c r="F366" s="6"/>
      <c r="G366" s="7"/>
    </row>
    <row r="367" spans="4:7" x14ac:dyDescent="0.2">
      <c r="D367" s="6"/>
      <c r="E367" s="6"/>
      <c r="F367" s="6"/>
      <c r="G367" s="7"/>
    </row>
    <row r="368" spans="4:7" x14ac:dyDescent="0.2">
      <c r="D368" s="6"/>
      <c r="E368" s="6"/>
      <c r="F368" s="6"/>
      <c r="G368" s="7"/>
    </row>
    <row r="369" spans="4:7" x14ac:dyDescent="0.2">
      <c r="D369" s="6"/>
      <c r="E369" s="6"/>
      <c r="F369" s="6"/>
      <c r="G369" s="7"/>
    </row>
    <row r="370" spans="4:7" x14ac:dyDescent="0.2">
      <c r="D370" s="6"/>
      <c r="E370" s="6"/>
      <c r="F370" s="6"/>
      <c r="G370" s="7"/>
    </row>
    <row r="371" spans="4:7" x14ac:dyDescent="0.2">
      <c r="D371" s="6"/>
      <c r="E371" s="6"/>
      <c r="F371" s="6"/>
      <c r="G371" s="7"/>
    </row>
    <row r="372" spans="4:7" x14ac:dyDescent="0.2">
      <c r="D372" s="6"/>
      <c r="E372" s="6"/>
      <c r="F372" s="6"/>
      <c r="G372" s="7"/>
    </row>
    <row r="373" spans="4:7" x14ac:dyDescent="0.2">
      <c r="D373" s="6"/>
      <c r="E373" s="6"/>
      <c r="F373" s="6"/>
      <c r="G373" s="7"/>
    </row>
    <row r="374" spans="4:7" x14ac:dyDescent="0.2">
      <c r="D374" s="6"/>
      <c r="E374" s="6"/>
      <c r="F374" s="6"/>
      <c r="G374" s="7"/>
    </row>
    <row r="375" spans="4:7" x14ac:dyDescent="0.2">
      <c r="D375" s="6"/>
      <c r="E375" s="6"/>
      <c r="F375" s="6"/>
      <c r="G375" s="7"/>
    </row>
    <row r="376" spans="4:7" x14ac:dyDescent="0.2">
      <c r="D376" s="6"/>
      <c r="E376" s="6"/>
      <c r="F376" s="6"/>
      <c r="G376" s="7"/>
    </row>
    <row r="377" spans="4:7" x14ac:dyDescent="0.2">
      <c r="D377" s="6"/>
      <c r="E377" s="6"/>
      <c r="F377" s="6"/>
      <c r="G377" s="7"/>
    </row>
    <row r="378" spans="4:7" x14ac:dyDescent="0.2">
      <c r="D378" s="6"/>
      <c r="E378" s="6"/>
      <c r="F378" s="6"/>
      <c r="G378" s="7"/>
    </row>
    <row r="379" spans="4:7" x14ac:dyDescent="0.2">
      <c r="D379" s="6"/>
      <c r="E379" s="6"/>
      <c r="F379" s="6"/>
      <c r="G379" s="7"/>
    </row>
    <row r="380" spans="4:7" x14ac:dyDescent="0.2">
      <c r="D380" s="6"/>
      <c r="E380" s="6"/>
      <c r="F380" s="6"/>
      <c r="G380" s="7"/>
    </row>
    <row r="381" spans="4:7" x14ac:dyDescent="0.2">
      <c r="D381" s="6"/>
      <c r="E381" s="6"/>
      <c r="F381" s="6"/>
      <c r="G381" s="7"/>
    </row>
    <row r="382" spans="4:7" x14ac:dyDescent="0.2">
      <c r="D382" s="6"/>
      <c r="E382" s="6"/>
      <c r="F382" s="6"/>
      <c r="G382" s="7"/>
    </row>
    <row r="383" spans="4:7" x14ac:dyDescent="0.2">
      <c r="D383" s="6"/>
      <c r="E383" s="6"/>
      <c r="F383" s="6"/>
      <c r="G383" s="7"/>
    </row>
    <row r="384" spans="4:7" x14ac:dyDescent="0.2">
      <c r="D384" s="6"/>
      <c r="E384" s="6"/>
      <c r="F384" s="6"/>
      <c r="G384" s="7"/>
    </row>
    <row r="385" spans="4:7" x14ac:dyDescent="0.2">
      <c r="D385" s="6"/>
      <c r="E385" s="6"/>
      <c r="F385" s="6"/>
      <c r="G385" s="7"/>
    </row>
    <row r="386" spans="4:7" x14ac:dyDescent="0.2">
      <c r="D386" s="6"/>
      <c r="E386" s="6"/>
      <c r="F386" s="6"/>
      <c r="G386" s="7"/>
    </row>
    <row r="387" spans="4:7" x14ac:dyDescent="0.2">
      <c r="D387" s="6"/>
      <c r="E387" s="6"/>
      <c r="F387" s="6"/>
      <c r="G387" s="7"/>
    </row>
    <row r="388" spans="4:7" x14ac:dyDescent="0.2">
      <c r="D388" s="6"/>
      <c r="E388" s="6"/>
      <c r="F388" s="6"/>
      <c r="G388" s="7"/>
    </row>
    <row r="389" spans="4:7" x14ac:dyDescent="0.2">
      <c r="D389" s="6"/>
      <c r="E389" s="6"/>
      <c r="F389" s="6"/>
      <c r="G389" s="7"/>
    </row>
    <row r="390" spans="4:7" x14ac:dyDescent="0.2">
      <c r="D390" s="6"/>
      <c r="E390" s="6"/>
      <c r="F390" s="6"/>
      <c r="G390" s="7"/>
    </row>
    <row r="391" spans="4:7" x14ac:dyDescent="0.2">
      <c r="D391" s="6"/>
      <c r="E391" s="6"/>
      <c r="F391" s="6"/>
      <c r="G391" s="7"/>
    </row>
    <row r="392" spans="4:7" x14ac:dyDescent="0.2">
      <c r="D392" s="6"/>
      <c r="E392" s="6"/>
      <c r="F392" s="6"/>
      <c r="G392" s="7"/>
    </row>
    <row r="393" spans="4:7" x14ac:dyDescent="0.2">
      <c r="D393" s="6"/>
      <c r="E393" s="6"/>
      <c r="F393" s="6"/>
      <c r="G393" s="7"/>
    </row>
    <row r="394" spans="4:7" x14ac:dyDescent="0.2">
      <c r="D394" s="6"/>
      <c r="E394" s="6"/>
      <c r="F394" s="6"/>
      <c r="G394" s="7"/>
    </row>
    <row r="395" spans="4:7" x14ac:dyDescent="0.2">
      <c r="D395" s="6"/>
      <c r="E395" s="6"/>
      <c r="F395" s="6"/>
      <c r="G395" s="7"/>
    </row>
    <row r="396" spans="4:7" x14ac:dyDescent="0.2">
      <c r="D396" s="6"/>
      <c r="E396" s="6"/>
      <c r="F396" s="6"/>
      <c r="G396" s="7"/>
    </row>
    <row r="397" spans="4:7" x14ac:dyDescent="0.2">
      <c r="D397" s="6"/>
      <c r="E397" s="6"/>
      <c r="F397" s="6"/>
      <c r="G397" s="7"/>
    </row>
    <row r="398" spans="4:7" x14ac:dyDescent="0.2">
      <c r="D398" s="6"/>
      <c r="E398" s="6"/>
      <c r="F398" s="6"/>
      <c r="G398" s="7"/>
    </row>
    <row r="399" spans="4:7" x14ac:dyDescent="0.2">
      <c r="D399" s="6"/>
      <c r="E399" s="6"/>
      <c r="F399" s="6"/>
      <c r="G399" s="7"/>
    </row>
    <row r="400" spans="4:7" x14ac:dyDescent="0.2">
      <c r="D400" s="6"/>
      <c r="E400" s="6"/>
      <c r="F400" s="6"/>
      <c r="G400" s="7"/>
    </row>
    <row r="401" spans="4:7" x14ac:dyDescent="0.2">
      <c r="D401" s="6"/>
      <c r="E401" s="6"/>
      <c r="F401" s="6"/>
      <c r="G401" s="7"/>
    </row>
    <row r="402" spans="4:7" x14ac:dyDescent="0.2">
      <c r="D402" s="6"/>
      <c r="E402" s="6"/>
      <c r="F402" s="6"/>
      <c r="G402" s="7"/>
    </row>
    <row r="403" spans="4:7" x14ac:dyDescent="0.2">
      <c r="D403" s="6"/>
      <c r="E403" s="6"/>
      <c r="F403" s="6"/>
      <c r="G403" s="7"/>
    </row>
    <row r="404" spans="4:7" x14ac:dyDescent="0.2">
      <c r="D404" s="6"/>
      <c r="E404" s="6"/>
      <c r="F404" s="6"/>
      <c r="G404" s="7"/>
    </row>
    <row r="405" spans="4:7" x14ac:dyDescent="0.2">
      <c r="D405" s="6"/>
      <c r="E405" s="6"/>
      <c r="F405" s="6"/>
      <c r="G405" s="7"/>
    </row>
    <row r="406" spans="4:7" x14ac:dyDescent="0.2">
      <c r="D406" s="6"/>
      <c r="E406" s="6"/>
      <c r="F406" s="6"/>
      <c r="G406" s="7"/>
    </row>
    <row r="407" spans="4:7" x14ac:dyDescent="0.2">
      <c r="D407" s="6"/>
      <c r="E407" s="6"/>
      <c r="F407" s="6"/>
      <c r="G407" s="7"/>
    </row>
    <row r="408" spans="4:7" x14ac:dyDescent="0.2">
      <c r="D408" s="6"/>
      <c r="E408" s="6"/>
      <c r="F408" s="6"/>
      <c r="G408" s="7"/>
    </row>
    <row r="409" spans="4:7" x14ac:dyDescent="0.2">
      <c r="D409" s="6"/>
      <c r="E409" s="6"/>
      <c r="F409" s="6"/>
      <c r="G409" s="7"/>
    </row>
    <row r="410" spans="4:7" x14ac:dyDescent="0.2">
      <c r="D410" s="6"/>
      <c r="E410" s="6"/>
      <c r="F410" s="6"/>
      <c r="G410" s="7"/>
    </row>
    <row r="411" spans="4:7" x14ac:dyDescent="0.2">
      <c r="D411" s="6"/>
      <c r="E411" s="6"/>
      <c r="F411" s="6"/>
      <c r="G411" s="7"/>
    </row>
    <row r="412" spans="4:7" x14ac:dyDescent="0.2">
      <c r="D412" s="6"/>
      <c r="E412" s="6"/>
      <c r="F412" s="6"/>
      <c r="G412" s="7"/>
    </row>
    <row r="413" spans="4:7" x14ac:dyDescent="0.2">
      <c r="D413" s="6"/>
      <c r="E413" s="6"/>
      <c r="F413" s="6"/>
      <c r="G413" s="7"/>
    </row>
    <row r="414" spans="4:7" x14ac:dyDescent="0.2">
      <c r="D414" s="6"/>
      <c r="E414" s="6"/>
      <c r="F414" s="6"/>
      <c r="G414" s="7"/>
    </row>
    <row r="415" spans="4:7" x14ac:dyDescent="0.2">
      <c r="D415" s="6"/>
      <c r="E415" s="6"/>
      <c r="F415" s="6"/>
      <c r="G415" s="7"/>
    </row>
    <row r="416" spans="4:7" x14ac:dyDescent="0.2">
      <c r="D416" s="6"/>
      <c r="E416" s="6"/>
      <c r="F416" s="6"/>
      <c r="G416" s="7"/>
    </row>
    <row r="417" spans="4:7" x14ac:dyDescent="0.2">
      <c r="D417" s="6"/>
      <c r="E417" s="6"/>
      <c r="F417" s="6"/>
      <c r="G417" s="7"/>
    </row>
    <row r="418" spans="4:7" x14ac:dyDescent="0.2">
      <c r="D418" s="6"/>
      <c r="E418" s="6"/>
      <c r="F418" s="6"/>
      <c r="G418" s="7"/>
    </row>
    <row r="419" spans="4:7" x14ac:dyDescent="0.2">
      <c r="D419" s="6"/>
      <c r="E419" s="6"/>
      <c r="F419" s="6"/>
      <c r="G419" s="7"/>
    </row>
    <row r="420" spans="4:7" x14ac:dyDescent="0.2">
      <c r="D420" s="6"/>
      <c r="E420" s="6"/>
      <c r="F420" s="6"/>
      <c r="G420" s="7"/>
    </row>
    <row r="421" spans="4:7" x14ac:dyDescent="0.2">
      <c r="D421" s="6"/>
      <c r="E421" s="6"/>
      <c r="F421" s="6"/>
      <c r="G421" s="7"/>
    </row>
    <row r="422" spans="4:7" x14ac:dyDescent="0.2">
      <c r="D422" s="6"/>
      <c r="E422" s="6"/>
      <c r="F422" s="6"/>
      <c r="G422" s="7"/>
    </row>
    <row r="423" spans="4:7" x14ac:dyDescent="0.2">
      <c r="D423" s="6"/>
      <c r="E423" s="6"/>
      <c r="F423" s="6"/>
      <c r="G423" s="7"/>
    </row>
    <row r="424" spans="4:7" x14ac:dyDescent="0.2">
      <c r="D424" s="6"/>
      <c r="E424" s="6"/>
      <c r="F424" s="6"/>
      <c r="G424" s="7"/>
    </row>
    <row r="425" spans="4:7" x14ac:dyDescent="0.2">
      <c r="D425" s="6"/>
      <c r="E425" s="6"/>
      <c r="F425" s="6"/>
      <c r="G425" s="7"/>
    </row>
    <row r="426" spans="4:7" x14ac:dyDescent="0.2">
      <c r="D426" s="6"/>
      <c r="E426" s="6"/>
      <c r="F426" s="6"/>
      <c r="G426" s="7"/>
    </row>
    <row r="427" spans="4:7" x14ac:dyDescent="0.2">
      <c r="D427" s="6"/>
      <c r="E427" s="6"/>
      <c r="F427" s="6"/>
      <c r="G427" s="7"/>
    </row>
    <row r="428" spans="4:7" x14ac:dyDescent="0.2">
      <c r="D428" s="6"/>
      <c r="E428" s="6"/>
      <c r="F428" s="6"/>
      <c r="G428" s="7"/>
    </row>
    <row r="429" spans="4:7" x14ac:dyDescent="0.2">
      <c r="D429" s="6"/>
      <c r="E429" s="6"/>
      <c r="F429" s="6"/>
      <c r="G429" s="7"/>
    </row>
    <row r="430" spans="4:7" x14ac:dyDescent="0.2">
      <c r="D430" s="6"/>
      <c r="E430" s="6"/>
      <c r="F430" s="6"/>
      <c r="G430" s="7"/>
    </row>
    <row r="431" spans="4:7" x14ac:dyDescent="0.2">
      <c r="D431" s="6"/>
      <c r="E431" s="6"/>
      <c r="F431" s="6"/>
      <c r="G431" s="7"/>
    </row>
    <row r="432" spans="4:7" x14ac:dyDescent="0.2">
      <c r="D432" s="6"/>
      <c r="E432" s="6"/>
      <c r="F432" s="6"/>
      <c r="G432" s="7"/>
    </row>
    <row r="433" spans="4:7" x14ac:dyDescent="0.2">
      <c r="D433" s="6"/>
      <c r="E433" s="6"/>
      <c r="F433" s="6"/>
      <c r="G433" s="7"/>
    </row>
    <row r="434" spans="4:7" x14ac:dyDescent="0.2">
      <c r="D434" s="6"/>
      <c r="E434" s="6"/>
      <c r="F434" s="6"/>
      <c r="G434" s="7"/>
    </row>
    <row r="435" spans="4:7" x14ac:dyDescent="0.2">
      <c r="D435" s="6"/>
      <c r="E435" s="6"/>
      <c r="F435" s="6"/>
      <c r="G435" s="7"/>
    </row>
    <row r="436" spans="4:7" x14ac:dyDescent="0.2">
      <c r="D436" s="6"/>
      <c r="E436" s="6"/>
      <c r="F436" s="6"/>
      <c r="G436" s="7"/>
    </row>
    <row r="437" spans="4:7" x14ac:dyDescent="0.2">
      <c r="D437" s="6"/>
      <c r="E437" s="6"/>
      <c r="F437" s="6"/>
      <c r="G437" s="7"/>
    </row>
    <row r="438" spans="4:7" x14ac:dyDescent="0.2">
      <c r="D438" s="6"/>
      <c r="E438" s="6"/>
      <c r="F438" s="6"/>
      <c r="G438" s="7"/>
    </row>
    <row r="439" spans="4:7" x14ac:dyDescent="0.2">
      <c r="D439" s="6"/>
      <c r="E439" s="6"/>
      <c r="F439" s="6"/>
      <c r="G439" s="7"/>
    </row>
    <row r="440" spans="4:7" x14ac:dyDescent="0.2">
      <c r="D440" s="6"/>
      <c r="E440" s="6"/>
      <c r="F440" s="6"/>
      <c r="G440" s="7"/>
    </row>
    <row r="441" spans="4:7" x14ac:dyDescent="0.2">
      <c r="D441" s="6"/>
      <c r="E441" s="6"/>
      <c r="F441" s="6"/>
      <c r="G441" s="7"/>
    </row>
    <row r="442" spans="4:7" x14ac:dyDescent="0.2">
      <c r="D442" s="6"/>
      <c r="E442" s="6"/>
      <c r="F442" s="6"/>
      <c r="G442" s="7"/>
    </row>
    <row r="443" spans="4:7" x14ac:dyDescent="0.2">
      <c r="D443" s="6"/>
      <c r="E443" s="6"/>
      <c r="F443" s="6"/>
      <c r="G443" s="7"/>
    </row>
    <row r="444" spans="4:7" x14ac:dyDescent="0.2">
      <c r="D444" s="6"/>
      <c r="E444" s="6"/>
      <c r="F444" s="6"/>
      <c r="G444" s="7"/>
    </row>
    <row r="445" spans="4:7" x14ac:dyDescent="0.2">
      <c r="D445" s="6"/>
      <c r="E445" s="6"/>
      <c r="F445" s="6"/>
      <c r="G445" s="7"/>
    </row>
    <row r="446" spans="4:7" x14ac:dyDescent="0.2">
      <c r="D446" s="6"/>
      <c r="E446" s="6"/>
      <c r="F446" s="6"/>
      <c r="G446" s="7"/>
    </row>
    <row r="447" spans="4:7" x14ac:dyDescent="0.2">
      <c r="D447" s="6"/>
      <c r="E447" s="6"/>
      <c r="F447" s="6"/>
      <c r="G447" s="7"/>
    </row>
    <row r="448" spans="4:7" x14ac:dyDescent="0.2">
      <c r="D448" s="6"/>
      <c r="E448" s="6"/>
      <c r="F448" s="6"/>
      <c r="G448" s="7"/>
    </row>
    <row r="449" spans="4:7" x14ac:dyDescent="0.2">
      <c r="D449" s="6"/>
      <c r="E449" s="6"/>
      <c r="F449" s="6"/>
      <c r="G449" s="7"/>
    </row>
    <row r="450" spans="4:7" x14ac:dyDescent="0.2">
      <c r="D450" s="6"/>
      <c r="E450" s="6"/>
      <c r="F450" s="6"/>
      <c r="G450" s="7"/>
    </row>
    <row r="451" spans="4:7" x14ac:dyDescent="0.2">
      <c r="D451" s="6"/>
      <c r="E451" s="6"/>
      <c r="F451" s="6"/>
      <c r="G451" s="7"/>
    </row>
    <row r="452" spans="4:7" x14ac:dyDescent="0.2">
      <c r="D452" s="6"/>
      <c r="E452" s="6"/>
      <c r="F452" s="6"/>
      <c r="G452" s="7"/>
    </row>
    <row r="453" spans="4:7" x14ac:dyDescent="0.2">
      <c r="D453" s="6"/>
      <c r="E453" s="6"/>
      <c r="F453" s="6"/>
      <c r="G453" s="7"/>
    </row>
    <row r="454" spans="4:7" x14ac:dyDescent="0.2">
      <c r="D454" s="6"/>
      <c r="E454" s="6"/>
      <c r="F454" s="6"/>
      <c r="G454" s="7"/>
    </row>
    <row r="455" spans="4:7" x14ac:dyDescent="0.2">
      <c r="D455" s="6"/>
      <c r="E455" s="6"/>
      <c r="F455" s="6"/>
      <c r="G455" s="7"/>
    </row>
    <row r="456" spans="4:7" x14ac:dyDescent="0.2">
      <c r="D456" s="6"/>
      <c r="E456" s="6"/>
      <c r="F456" s="6"/>
      <c r="G456" s="7"/>
    </row>
    <row r="457" spans="4:7" x14ac:dyDescent="0.2">
      <c r="D457" s="6"/>
      <c r="E457" s="6"/>
      <c r="F457" s="6"/>
      <c r="G457" s="7"/>
    </row>
    <row r="458" spans="4:7" x14ac:dyDescent="0.2">
      <c r="D458" s="6"/>
      <c r="E458" s="6"/>
      <c r="F458" s="6"/>
      <c r="G458" s="7"/>
    </row>
    <row r="459" spans="4:7" x14ac:dyDescent="0.2">
      <c r="D459" s="6"/>
      <c r="E459" s="6"/>
      <c r="F459" s="6"/>
      <c r="G459" s="7"/>
    </row>
    <row r="460" spans="4:7" x14ac:dyDescent="0.2">
      <c r="D460" s="6"/>
      <c r="E460" s="6"/>
      <c r="F460" s="6"/>
      <c r="G460" s="7"/>
    </row>
    <row r="461" spans="4:7" x14ac:dyDescent="0.2">
      <c r="D461" s="6"/>
      <c r="E461" s="6"/>
      <c r="F461" s="6"/>
      <c r="G461" s="7"/>
    </row>
    <row r="462" spans="4:7" x14ac:dyDescent="0.2">
      <c r="D462" s="6"/>
      <c r="E462" s="6"/>
      <c r="F462" s="6"/>
      <c r="G462" s="7"/>
    </row>
    <row r="463" spans="4:7" x14ac:dyDescent="0.2">
      <c r="D463" s="6"/>
      <c r="E463" s="6"/>
      <c r="F463" s="6"/>
      <c r="G463" s="7"/>
    </row>
    <row r="464" spans="4:7" x14ac:dyDescent="0.2">
      <c r="D464" s="6"/>
      <c r="E464" s="6"/>
      <c r="F464" s="6"/>
      <c r="G464" s="7"/>
    </row>
    <row r="465" spans="4:7" x14ac:dyDescent="0.2">
      <c r="D465" s="6"/>
      <c r="E465" s="6"/>
      <c r="F465" s="6"/>
      <c r="G465" s="7"/>
    </row>
    <row r="466" spans="4:7" x14ac:dyDescent="0.2">
      <c r="D466" s="6"/>
      <c r="E466" s="6"/>
      <c r="F466" s="6"/>
      <c r="G466" s="7"/>
    </row>
    <row r="467" spans="4:7" x14ac:dyDescent="0.2">
      <c r="D467" s="6"/>
      <c r="E467" s="6"/>
      <c r="F467" s="6"/>
      <c r="G467" s="7"/>
    </row>
    <row r="468" spans="4:7" x14ac:dyDescent="0.2">
      <c r="D468" s="6"/>
      <c r="E468" s="6"/>
      <c r="F468" s="6"/>
      <c r="G468" s="7"/>
    </row>
    <row r="469" spans="4:7" x14ac:dyDescent="0.2">
      <c r="D469" s="6"/>
      <c r="E469" s="6"/>
      <c r="F469" s="6"/>
      <c r="G469" s="7"/>
    </row>
    <row r="470" spans="4:7" x14ac:dyDescent="0.2">
      <c r="D470" s="6"/>
      <c r="E470" s="6"/>
      <c r="F470" s="6"/>
      <c r="G470" s="7"/>
    </row>
    <row r="471" spans="4:7" x14ac:dyDescent="0.2">
      <c r="D471" s="6"/>
      <c r="E471" s="6"/>
      <c r="F471" s="6"/>
      <c r="G471" s="7"/>
    </row>
    <row r="472" spans="4:7" x14ac:dyDescent="0.2">
      <c r="D472" s="6"/>
      <c r="E472" s="6"/>
      <c r="F472" s="6"/>
      <c r="G472" s="7"/>
    </row>
    <row r="473" spans="4:7" x14ac:dyDescent="0.2">
      <c r="D473" s="6"/>
      <c r="E473" s="6"/>
      <c r="F473" s="6"/>
      <c r="G473" s="7"/>
    </row>
    <row r="474" spans="4:7" x14ac:dyDescent="0.2">
      <c r="D474" s="6"/>
      <c r="E474" s="6"/>
      <c r="F474" s="6"/>
      <c r="G474" s="7"/>
    </row>
    <row r="475" spans="4:7" x14ac:dyDescent="0.2">
      <c r="D475" s="6"/>
      <c r="E475" s="6"/>
      <c r="F475" s="6"/>
      <c r="G475" s="7"/>
    </row>
    <row r="476" spans="4:7" x14ac:dyDescent="0.2">
      <c r="D476" s="6"/>
      <c r="E476" s="6"/>
      <c r="F476" s="6"/>
      <c r="G476" s="7"/>
    </row>
    <row r="477" spans="4:7" x14ac:dyDescent="0.2">
      <c r="D477" s="6"/>
      <c r="E477" s="6"/>
      <c r="F477" s="6"/>
      <c r="G477" s="7"/>
    </row>
    <row r="478" spans="4:7" x14ac:dyDescent="0.2">
      <c r="D478" s="6"/>
      <c r="E478" s="6"/>
      <c r="F478" s="6"/>
      <c r="G478" s="7"/>
    </row>
    <row r="479" spans="4:7" x14ac:dyDescent="0.2">
      <c r="D479" s="6"/>
      <c r="E479" s="6"/>
      <c r="F479" s="6"/>
      <c r="G479" s="7"/>
    </row>
    <row r="480" spans="4:7" x14ac:dyDescent="0.2">
      <c r="D480" s="6"/>
      <c r="E480" s="6"/>
      <c r="F480" s="6"/>
      <c r="G480" s="7"/>
    </row>
    <row r="481" spans="4:7" x14ac:dyDescent="0.2">
      <c r="D481" s="6"/>
      <c r="E481" s="6"/>
      <c r="F481" s="6"/>
      <c r="G481" s="7"/>
    </row>
    <row r="482" spans="4:7" x14ac:dyDescent="0.2">
      <c r="D482" s="6"/>
      <c r="E482" s="6"/>
      <c r="F482" s="6"/>
      <c r="G482" s="7"/>
    </row>
    <row r="483" spans="4:7" x14ac:dyDescent="0.2">
      <c r="D483" s="6"/>
      <c r="E483" s="6"/>
      <c r="F483" s="6"/>
      <c r="G483" s="7"/>
    </row>
    <row r="484" spans="4:7" x14ac:dyDescent="0.2">
      <c r="D484" s="6"/>
      <c r="E484" s="6"/>
      <c r="F484" s="6"/>
      <c r="G484" s="7"/>
    </row>
    <row r="485" spans="4:7" x14ac:dyDescent="0.2">
      <c r="D485" s="6"/>
      <c r="E485" s="6"/>
      <c r="F485" s="6"/>
      <c r="G485" s="7"/>
    </row>
    <row r="486" spans="4:7" x14ac:dyDescent="0.2">
      <c r="D486" s="6"/>
      <c r="E486" s="6"/>
      <c r="F486" s="6"/>
      <c r="G486" s="7"/>
    </row>
    <row r="487" spans="4:7" x14ac:dyDescent="0.2">
      <c r="D487" s="6"/>
      <c r="E487" s="6"/>
      <c r="F487" s="6"/>
      <c r="G487" s="7"/>
    </row>
    <row r="488" spans="4:7" x14ac:dyDescent="0.2">
      <c r="D488" s="6"/>
      <c r="E488" s="6"/>
      <c r="F488" s="6"/>
      <c r="G488" s="7"/>
    </row>
    <row r="489" spans="4:7" x14ac:dyDescent="0.2">
      <c r="D489" s="6"/>
      <c r="E489" s="6"/>
      <c r="F489" s="6"/>
      <c r="G489" s="7"/>
    </row>
    <row r="490" spans="4:7" x14ac:dyDescent="0.2">
      <c r="D490" s="6"/>
      <c r="E490" s="6"/>
      <c r="F490" s="6"/>
      <c r="G490" s="7"/>
    </row>
    <row r="491" spans="4:7" x14ac:dyDescent="0.2">
      <c r="D491" s="6"/>
      <c r="E491" s="6"/>
      <c r="F491" s="6"/>
      <c r="G491" s="7"/>
    </row>
    <row r="492" spans="4:7" x14ac:dyDescent="0.2">
      <c r="D492" s="6"/>
      <c r="E492" s="6"/>
      <c r="F492" s="6"/>
      <c r="G492" s="7"/>
    </row>
    <row r="493" spans="4:7" x14ac:dyDescent="0.2">
      <c r="D493" s="6"/>
      <c r="E493" s="6"/>
      <c r="F493" s="6"/>
      <c r="G493" s="7"/>
    </row>
    <row r="494" spans="4:7" x14ac:dyDescent="0.2">
      <c r="D494" s="6"/>
      <c r="E494" s="6"/>
      <c r="F494" s="6"/>
      <c r="G494" s="7"/>
    </row>
    <row r="495" spans="4:7" x14ac:dyDescent="0.2">
      <c r="D495" s="6"/>
      <c r="E495" s="6"/>
      <c r="F495" s="6"/>
      <c r="G495" s="7"/>
    </row>
    <row r="496" spans="4:7" x14ac:dyDescent="0.2">
      <c r="D496" s="6"/>
      <c r="E496" s="6"/>
      <c r="F496" s="6"/>
      <c r="G496" s="7"/>
    </row>
    <row r="497" spans="4:7" x14ac:dyDescent="0.2">
      <c r="D497" s="6"/>
      <c r="E497" s="6"/>
      <c r="F497" s="6"/>
      <c r="G497" s="7"/>
    </row>
    <row r="498" spans="4:7" x14ac:dyDescent="0.2">
      <c r="D498" s="6"/>
      <c r="E498" s="6"/>
      <c r="F498" s="6"/>
      <c r="G498" s="7"/>
    </row>
    <row r="499" spans="4:7" x14ac:dyDescent="0.2">
      <c r="D499" s="6"/>
      <c r="E499" s="6"/>
      <c r="F499" s="6"/>
      <c r="G499" s="7"/>
    </row>
    <row r="500" spans="4:7" x14ac:dyDescent="0.2">
      <c r="D500" s="6"/>
      <c r="E500" s="6"/>
      <c r="F500" s="6"/>
      <c r="G500" s="7"/>
    </row>
    <row r="501" spans="4:7" x14ac:dyDescent="0.2">
      <c r="D501" s="6"/>
      <c r="E501" s="6"/>
      <c r="F501" s="6"/>
      <c r="G501" s="7"/>
    </row>
    <row r="502" spans="4:7" x14ac:dyDescent="0.2">
      <c r="D502" s="6"/>
      <c r="E502" s="6"/>
      <c r="F502" s="6"/>
      <c r="G502" s="7"/>
    </row>
    <row r="503" spans="4:7" x14ac:dyDescent="0.2">
      <c r="D503" s="6"/>
      <c r="E503" s="6"/>
      <c r="F503" s="6"/>
      <c r="G503" s="7"/>
    </row>
    <row r="504" spans="4:7" x14ac:dyDescent="0.2">
      <c r="D504" s="6"/>
      <c r="E504" s="6"/>
      <c r="F504" s="6"/>
      <c r="G504" s="7"/>
    </row>
    <row r="505" spans="4:7" x14ac:dyDescent="0.2">
      <c r="D505" s="6"/>
      <c r="E505" s="6"/>
      <c r="F505" s="6"/>
      <c r="G505" s="7"/>
    </row>
    <row r="506" spans="4:7" x14ac:dyDescent="0.2">
      <c r="D506" s="6"/>
      <c r="E506" s="6"/>
      <c r="F506" s="6"/>
      <c r="G506" s="7"/>
    </row>
    <row r="507" spans="4:7" x14ac:dyDescent="0.2">
      <c r="D507" s="6"/>
      <c r="E507" s="6"/>
      <c r="F507" s="6"/>
      <c r="G507" s="7"/>
    </row>
    <row r="508" spans="4:7" x14ac:dyDescent="0.2">
      <c r="D508" s="6"/>
      <c r="E508" s="6"/>
      <c r="F508" s="6"/>
      <c r="G508" s="7"/>
    </row>
    <row r="509" spans="4:7" x14ac:dyDescent="0.2">
      <c r="D509" s="6"/>
      <c r="E509" s="6"/>
      <c r="F509" s="6"/>
      <c r="G509" s="7"/>
    </row>
    <row r="510" spans="4:7" x14ac:dyDescent="0.2">
      <c r="D510" s="6"/>
      <c r="E510" s="6"/>
      <c r="F510" s="6"/>
      <c r="G510" s="7"/>
    </row>
    <row r="511" spans="4:7" x14ac:dyDescent="0.2">
      <c r="D511" s="6"/>
      <c r="E511" s="6"/>
      <c r="F511" s="6"/>
      <c r="G511" s="7"/>
    </row>
    <row r="512" spans="4:7" x14ac:dyDescent="0.2">
      <c r="D512" s="6"/>
      <c r="E512" s="6"/>
      <c r="F512" s="6"/>
      <c r="G512" s="7"/>
    </row>
    <row r="513" spans="4:7" x14ac:dyDescent="0.2">
      <c r="D513" s="6"/>
      <c r="E513" s="6"/>
      <c r="F513" s="6"/>
      <c r="G513" s="7"/>
    </row>
    <row r="514" spans="4:7" x14ac:dyDescent="0.2">
      <c r="D514" s="6"/>
      <c r="E514" s="6"/>
      <c r="F514" s="6"/>
      <c r="G514" s="7"/>
    </row>
    <row r="515" spans="4:7" x14ac:dyDescent="0.2">
      <c r="D515" s="6"/>
      <c r="E515" s="6"/>
      <c r="F515" s="6"/>
      <c r="G515" s="7"/>
    </row>
    <row r="516" spans="4:7" x14ac:dyDescent="0.2">
      <c r="D516" s="6"/>
      <c r="E516" s="6"/>
      <c r="F516" s="6"/>
      <c r="G516" s="7"/>
    </row>
    <row r="517" spans="4:7" x14ac:dyDescent="0.2">
      <c r="D517" s="6"/>
      <c r="E517" s="6"/>
      <c r="F517" s="6"/>
      <c r="G517" s="7"/>
    </row>
    <row r="518" spans="4:7" x14ac:dyDescent="0.2">
      <c r="D518" s="6"/>
      <c r="E518" s="6"/>
      <c r="F518" s="6"/>
      <c r="G518" s="7"/>
    </row>
    <row r="519" spans="4:7" x14ac:dyDescent="0.2">
      <c r="D519" s="6"/>
      <c r="E519" s="6"/>
      <c r="F519" s="6"/>
      <c r="G519" s="7"/>
    </row>
    <row r="520" spans="4:7" x14ac:dyDescent="0.2">
      <c r="D520" s="6"/>
      <c r="E520" s="6"/>
      <c r="F520" s="6"/>
      <c r="G520" s="7"/>
    </row>
    <row r="521" spans="4:7" x14ac:dyDescent="0.2">
      <c r="D521" s="6"/>
      <c r="E521" s="6"/>
      <c r="F521" s="6"/>
      <c r="G521" s="7"/>
    </row>
    <row r="522" spans="4:7" x14ac:dyDescent="0.2">
      <c r="D522" s="6"/>
      <c r="E522" s="6"/>
      <c r="F522" s="6"/>
      <c r="G522" s="7"/>
    </row>
    <row r="523" spans="4:7" x14ac:dyDescent="0.2">
      <c r="D523" s="6"/>
      <c r="E523" s="6"/>
      <c r="F523" s="6"/>
      <c r="G523" s="7"/>
    </row>
    <row r="524" spans="4:7" x14ac:dyDescent="0.2">
      <c r="D524" s="6"/>
      <c r="E524" s="6"/>
      <c r="F524" s="6"/>
      <c r="G524" s="7"/>
    </row>
    <row r="525" spans="4:7" x14ac:dyDescent="0.2">
      <c r="D525" s="6"/>
      <c r="E525" s="6"/>
      <c r="F525" s="6"/>
      <c r="G525" s="7"/>
    </row>
    <row r="526" spans="4:7" x14ac:dyDescent="0.2">
      <c r="D526" s="6"/>
      <c r="E526" s="6"/>
      <c r="F526" s="6"/>
      <c r="G526" s="7"/>
    </row>
    <row r="527" spans="4:7" x14ac:dyDescent="0.2">
      <c r="D527" s="6"/>
      <c r="E527" s="6"/>
      <c r="F527" s="6"/>
      <c r="G527" s="7"/>
    </row>
    <row r="528" spans="4:7" x14ac:dyDescent="0.2">
      <c r="D528" s="6"/>
      <c r="E528" s="6"/>
      <c r="F528" s="6"/>
      <c r="G528" s="7"/>
    </row>
    <row r="529" spans="4:7" x14ac:dyDescent="0.2">
      <c r="D529" s="6"/>
      <c r="E529" s="6"/>
      <c r="F529" s="6"/>
      <c r="G529" s="7"/>
    </row>
    <row r="530" spans="4:7" x14ac:dyDescent="0.2">
      <c r="D530" s="6"/>
      <c r="E530" s="6"/>
      <c r="F530" s="6"/>
      <c r="G530" s="7"/>
    </row>
    <row r="531" spans="4:7" x14ac:dyDescent="0.2">
      <c r="D531" s="6"/>
      <c r="E531" s="6"/>
      <c r="F531" s="6"/>
      <c r="G531" s="7"/>
    </row>
    <row r="532" spans="4:7" x14ac:dyDescent="0.2">
      <c r="D532" s="6"/>
      <c r="E532" s="6"/>
      <c r="F532" s="6"/>
      <c r="G532" s="7"/>
    </row>
    <row r="533" spans="4:7" x14ac:dyDescent="0.2">
      <c r="D533" s="6"/>
      <c r="E533" s="6"/>
      <c r="F533" s="6"/>
      <c r="G533" s="7"/>
    </row>
    <row r="534" spans="4:7" x14ac:dyDescent="0.2">
      <c r="D534" s="6"/>
      <c r="E534" s="6"/>
      <c r="F534" s="6"/>
      <c r="G534" s="7"/>
    </row>
    <row r="535" spans="4:7" x14ac:dyDescent="0.2">
      <c r="D535" s="6"/>
      <c r="E535" s="6"/>
      <c r="F535" s="6"/>
      <c r="G535" s="7"/>
    </row>
    <row r="536" spans="4:7" x14ac:dyDescent="0.2">
      <c r="D536" s="6"/>
      <c r="E536" s="6"/>
      <c r="F536" s="6"/>
      <c r="G536" s="7"/>
    </row>
    <row r="537" spans="4:7" x14ac:dyDescent="0.2">
      <c r="D537" s="6"/>
      <c r="E537" s="6"/>
      <c r="F537" s="6"/>
      <c r="G537" s="7"/>
    </row>
    <row r="538" spans="4:7" x14ac:dyDescent="0.2">
      <c r="D538" s="6"/>
      <c r="E538" s="6"/>
      <c r="F538" s="6"/>
      <c r="G538" s="7"/>
    </row>
    <row r="539" spans="4:7" x14ac:dyDescent="0.2">
      <c r="D539" s="6"/>
      <c r="E539" s="6"/>
      <c r="F539" s="6"/>
      <c r="G539" s="7"/>
    </row>
    <row r="540" spans="4:7" x14ac:dyDescent="0.2">
      <c r="D540" s="6"/>
      <c r="E540" s="6"/>
      <c r="F540" s="6"/>
      <c r="G540" s="7"/>
    </row>
    <row r="541" spans="4:7" x14ac:dyDescent="0.2">
      <c r="D541" s="6"/>
      <c r="E541" s="6"/>
      <c r="F541" s="6"/>
      <c r="G541" s="7"/>
    </row>
    <row r="542" spans="4:7" x14ac:dyDescent="0.2">
      <c r="D542" s="6"/>
      <c r="E542" s="6"/>
      <c r="F542" s="6"/>
      <c r="G542" s="7"/>
    </row>
    <row r="543" spans="4:7" x14ac:dyDescent="0.2">
      <c r="D543" s="6"/>
      <c r="E543" s="6"/>
      <c r="F543" s="6"/>
      <c r="G543" s="7"/>
    </row>
    <row r="544" spans="4:7" x14ac:dyDescent="0.2">
      <c r="D544" s="6"/>
      <c r="E544" s="6"/>
      <c r="F544" s="6"/>
      <c r="G544" s="7"/>
    </row>
    <row r="545" spans="4:7" x14ac:dyDescent="0.2">
      <c r="D545" s="6"/>
      <c r="E545" s="6"/>
      <c r="F545" s="6"/>
      <c r="G545" s="7"/>
    </row>
    <row r="546" spans="4:7" x14ac:dyDescent="0.2">
      <c r="D546" s="6"/>
      <c r="E546" s="6"/>
      <c r="F546" s="6"/>
      <c r="G546" s="7"/>
    </row>
    <row r="547" spans="4:7" x14ac:dyDescent="0.2">
      <c r="D547" s="6"/>
      <c r="E547" s="6"/>
      <c r="F547" s="6"/>
      <c r="G547" s="7"/>
    </row>
    <row r="548" spans="4:7" x14ac:dyDescent="0.2">
      <c r="D548" s="6"/>
      <c r="E548" s="6"/>
      <c r="F548" s="6"/>
      <c r="G548" s="7"/>
    </row>
    <row r="549" spans="4:7" x14ac:dyDescent="0.2">
      <c r="D549" s="6"/>
      <c r="E549" s="6"/>
      <c r="F549" s="6"/>
      <c r="G549" s="7"/>
    </row>
    <row r="550" spans="4:7" x14ac:dyDescent="0.2">
      <c r="D550" s="6"/>
      <c r="E550" s="6"/>
      <c r="F550" s="6"/>
      <c r="G550" s="7"/>
    </row>
    <row r="551" spans="4:7" x14ac:dyDescent="0.2">
      <c r="D551" s="6"/>
      <c r="E551" s="6"/>
      <c r="F551" s="6"/>
      <c r="G551" s="7"/>
    </row>
    <row r="552" spans="4:7" x14ac:dyDescent="0.2">
      <c r="D552" s="6"/>
      <c r="E552" s="6"/>
      <c r="F552" s="6"/>
      <c r="G552" s="7"/>
    </row>
    <row r="553" spans="4:7" x14ac:dyDescent="0.2">
      <c r="D553" s="6"/>
      <c r="E553" s="6"/>
      <c r="F553" s="6"/>
      <c r="G553" s="7"/>
    </row>
    <row r="554" spans="4:7" x14ac:dyDescent="0.2">
      <c r="D554" s="6"/>
      <c r="E554" s="6"/>
      <c r="F554" s="6"/>
      <c r="G554" s="7"/>
    </row>
    <row r="555" spans="4:7" x14ac:dyDescent="0.2">
      <c r="D555" s="6"/>
      <c r="E555" s="6"/>
      <c r="F555" s="6"/>
      <c r="G555" s="7"/>
    </row>
    <row r="556" spans="4:7" x14ac:dyDescent="0.2">
      <c r="D556" s="6"/>
      <c r="E556" s="6"/>
      <c r="F556" s="6"/>
      <c r="G556" s="7"/>
    </row>
    <row r="557" spans="4:7" x14ac:dyDescent="0.2">
      <c r="D557" s="6"/>
      <c r="E557" s="6"/>
      <c r="F557" s="6"/>
      <c r="G557" s="7"/>
    </row>
    <row r="558" spans="4:7" x14ac:dyDescent="0.2">
      <c r="D558" s="6"/>
      <c r="E558" s="6"/>
      <c r="F558" s="6"/>
      <c r="G558" s="7"/>
    </row>
    <row r="559" spans="4:7" x14ac:dyDescent="0.2">
      <c r="D559" s="6"/>
      <c r="E559" s="6"/>
      <c r="F559" s="6"/>
      <c r="G559" s="7"/>
    </row>
    <row r="560" spans="4:7" x14ac:dyDescent="0.2">
      <c r="D560" s="6"/>
      <c r="E560" s="6"/>
      <c r="F560" s="6"/>
      <c r="G560" s="7"/>
    </row>
    <row r="561" spans="4:7" x14ac:dyDescent="0.2">
      <c r="D561" s="6"/>
      <c r="E561" s="6"/>
      <c r="F561" s="6"/>
      <c r="G561" s="7"/>
    </row>
    <row r="562" spans="4:7" x14ac:dyDescent="0.2">
      <c r="D562" s="6"/>
      <c r="E562" s="6"/>
      <c r="F562" s="6"/>
      <c r="G562" s="7"/>
    </row>
    <row r="563" spans="4:7" x14ac:dyDescent="0.2">
      <c r="D563" s="6"/>
      <c r="E563" s="6"/>
      <c r="F563" s="6"/>
      <c r="G563" s="7"/>
    </row>
    <row r="564" spans="4:7" x14ac:dyDescent="0.2">
      <c r="D564" s="6"/>
      <c r="E564" s="6"/>
      <c r="F564" s="6"/>
      <c r="G564" s="7"/>
    </row>
    <row r="565" spans="4:7" x14ac:dyDescent="0.2">
      <c r="D565" s="6"/>
      <c r="E565" s="6"/>
      <c r="F565" s="6"/>
      <c r="G565" s="7"/>
    </row>
    <row r="566" spans="4:7" x14ac:dyDescent="0.2">
      <c r="D566" s="6"/>
      <c r="E566" s="6"/>
      <c r="F566" s="6"/>
      <c r="G566" s="7"/>
    </row>
    <row r="567" spans="4:7" x14ac:dyDescent="0.2">
      <c r="D567" s="6"/>
      <c r="E567" s="6"/>
      <c r="F567" s="6"/>
      <c r="G567" s="7"/>
    </row>
    <row r="568" spans="4:7" x14ac:dyDescent="0.2">
      <c r="D568" s="6"/>
      <c r="E568" s="6"/>
      <c r="F568" s="6"/>
      <c r="G568" s="7"/>
    </row>
    <row r="569" spans="4:7" x14ac:dyDescent="0.2">
      <c r="D569" s="6"/>
      <c r="E569" s="6"/>
      <c r="F569" s="6"/>
      <c r="G569" s="7"/>
    </row>
    <row r="570" spans="4:7" x14ac:dyDescent="0.2">
      <c r="D570" s="6"/>
      <c r="E570" s="6"/>
      <c r="F570" s="6"/>
      <c r="G570" s="7"/>
    </row>
    <row r="571" spans="4:7" x14ac:dyDescent="0.2">
      <c r="D571" s="6"/>
      <c r="E571" s="6"/>
      <c r="F571" s="6"/>
      <c r="G571" s="7"/>
    </row>
    <row r="572" spans="4:7" x14ac:dyDescent="0.2">
      <c r="D572" s="6"/>
      <c r="E572" s="6"/>
      <c r="F572" s="6"/>
      <c r="G572" s="7"/>
    </row>
    <row r="573" spans="4:7" x14ac:dyDescent="0.2">
      <c r="D573" s="6"/>
      <c r="E573" s="6"/>
      <c r="F573" s="6"/>
      <c r="G573" s="7"/>
    </row>
    <row r="574" spans="4:7" x14ac:dyDescent="0.2">
      <c r="D574" s="6"/>
      <c r="E574" s="6"/>
      <c r="F574" s="6"/>
      <c r="G574" s="7"/>
    </row>
    <row r="575" spans="4:7" x14ac:dyDescent="0.2">
      <c r="D575" s="6"/>
      <c r="E575" s="6"/>
      <c r="F575" s="6"/>
      <c r="G575" s="7"/>
    </row>
    <row r="576" spans="4:7" x14ac:dyDescent="0.2">
      <c r="D576" s="6"/>
      <c r="E576" s="6"/>
      <c r="F576" s="6"/>
      <c r="G576" s="7"/>
    </row>
    <row r="577" spans="4:7" x14ac:dyDescent="0.2">
      <c r="D577" s="6"/>
      <c r="E577" s="6"/>
      <c r="F577" s="6"/>
      <c r="G577" s="7"/>
    </row>
    <row r="578" spans="4:7" x14ac:dyDescent="0.2">
      <c r="D578" s="6"/>
      <c r="E578" s="6"/>
      <c r="F578" s="6"/>
      <c r="G578" s="7"/>
    </row>
    <row r="579" spans="4:7" x14ac:dyDescent="0.2">
      <c r="D579" s="6"/>
      <c r="E579" s="6"/>
      <c r="F579" s="6"/>
      <c r="G579" s="7"/>
    </row>
    <row r="580" spans="4:7" x14ac:dyDescent="0.2">
      <c r="D580" s="6"/>
      <c r="E580" s="6"/>
      <c r="F580" s="6"/>
      <c r="G580" s="7"/>
    </row>
    <row r="581" spans="4:7" x14ac:dyDescent="0.2">
      <c r="D581" s="6"/>
      <c r="E581" s="6"/>
      <c r="F581" s="6"/>
      <c r="G581" s="7"/>
    </row>
    <row r="582" spans="4:7" x14ac:dyDescent="0.2">
      <c r="D582" s="6"/>
      <c r="E582" s="6"/>
      <c r="F582" s="6"/>
      <c r="G582" s="7"/>
    </row>
    <row r="583" spans="4:7" x14ac:dyDescent="0.2">
      <c r="D583" s="6"/>
      <c r="E583" s="6"/>
      <c r="F583" s="6"/>
      <c r="G583" s="7"/>
    </row>
    <row r="584" spans="4:7" x14ac:dyDescent="0.2">
      <c r="D584" s="6"/>
      <c r="E584" s="6"/>
      <c r="F584" s="6"/>
      <c r="G584" s="7"/>
    </row>
    <row r="585" spans="4:7" x14ac:dyDescent="0.2">
      <c r="D585" s="6"/>
      <c r="E585" s="6"/>
      <c r="F585" s="6"/>
      <c r="G585" s="7"/>
    </row>
    <row r="586" spans="4:7" x14ac:dyDescent="0.2">
      <c r="D586" s="6"/>
      <c r="E586" s="6"/>
      <c r="F586" s="6"/>
      <c r="G586" s="7"/>
    </row>
    <row r="587" spans="4:7" x14ac:dyDescent="0.2">
      <c r="D587" s="6"/>
      <c r="E587" s="6"/>
      <c r="F587" s="6"/>
      <c r="G587" s="7"/>
    </row>
    <row r="588" spans="4:7" x14ac:dyDescent="0.2">
      <c r="D588" s="6"/>
      <c r="E588" s="6"/>
      <c r="F588" s="6"/>
      <c r="G588" s="7"/>
    </row>
    <row r="589" spans="4:7" x14ac:dyDescent="0.2">
      <c r="D589" s="6"/>
      <c r="E589" s="6"/>
      <c r="F589" s="6"/>
      <c r="G589" s="7"/>
    </row>
    <row r="590" spans="4:7" x14ac:dyDescent="0.2">
      <c r="D590" s="6"/>
      <c r="E590" s="6"/>
      <c r="F590" s="6"/>
      <c r="G590" s="7"/>
    </row>
    <row r="591" spans="4:7" x14ac:dyDescent="0.2">
      <c r="D591" s="6"/>
      <c r="E591" s="6"/>
      <c r="F591" s="6"/>
      <c r="G591" s="7"/>
    </row>
    <row r="592" spans="4:7" x14ac:dyDescent="0.2">
      <c r="D592" s="6"/>
      <c r="E592" s="6"/>
      <c r="F592" s="6"/>
      <c r="G592" s="7"/>
    </row>
    <row r="593" spans="4:7" x14ac:dyDescent="0.2">
      <c r="D593" s="6"/>
      <c r="E593" s="6"/>
      <c r="F593" s="6"/>
      <c r="G593" s="7"/>
    </row>
    <row r="594" spans="4:7" x14ac:dyDescent="0.2">
      <c r="D594" s="6"/>
      <c r="E594" s="6"/>
      <c r="F594" s="6"/>
      <c r="G594" s="7"/>
    </row>
    <row r="595" spans="4:7" x14ac:dyDescent="0.2">
      <c r="D595" s="6"/>
      <c r="E595" s="6"/>
      <c r="F595" s="6"/>
      <c r="G595" s="7"/>
    </row>
    <row r="596" spans="4:7" x14ac:dyDescent="0.2">
      <c r="D596" s="6"/>
      <c r="E596" s="6"/>
      <c r="F596" s="6"/>
      <c r="G596" s="7"/>
    </row>
    <row r="597" spans="4:7" x14ac:dyDescent="0.2">
      <c r="D597" s="6"/>
      <c r="E597" s="6"/>
      <c r="F597" s="6"/>
      <c r="G597" s="7"/>
    </row>
    <row r="598" spans="4:7" x14ac:dyDescent="0.2">
      <c r="D598" s="6"/>
      <c r="E598" s="6"/>
      <c r="F598" s="6"/>
      <c r="G598" s="7"/>
    </row>
    <row r="599" spans="4:7" x14ac:dyDescent="0.2">
      <c r="D599" s="6"/>
      <c r="E599" s="6"/>
      <c r="F599" s="6"/>
      <c r="G599" s="7"/>
    </row>
    <row r="600" spans="4:7" x14ac:dyDescent="0.2">
      <c r="D600" s="6"/>
      <c r="E600" s="6"/>
      <c r="F600" s="6"/>
      <c r="G600" s="7"/>
    </row>
    <row r="601" spans="4:7" x14ac:dyDescent="0.2">
      <c r="D601" s="6"/>
      <c r="E601" s="6"/>
      <c r="F601" s="6"/>
      <c r="G601" s="7"/>
    </row>
    <row r="602" spans="4:7" x14ac:dyDescent="0.2">
      <c r="D602" s="6"/>
      <c r="E602" s="6"/>
      <c r="F602" s="6"/>
      <c r="G602" s="7"/>
    </row>
    <row r="603" spans="4:7" x14ac:dyDescent="0.2">
      <c r="D603" s="6"/>
      <c r="E603" s="6"/>
      <c r="F603" s="6"/>
      <c r="G603" s="7"/>
    </row>
    <row r="604" spans="4:7" x14ac:dyDescent="0.2">
      <c r="D604" s="6"/>
      <c r="E604" s="6"/>
      <c r="F604" s="6"/>
      <c r="G604" s="7"/>
    </row>
    <row r="605" spans="4:7" x14ac:dyDescent="0.2">
      <c r="D605" s="6"/>
      <c r="E605" s="6"/>
      <c r="F605" s="6"/>
      <c r="G605" s="7"/>
    </row>
    <row r="606" spans="4:7" x14ac:dyDescent="0.2">
      <c r="D606" s="6"/>
      <c r="E606" s="6"/>
      <c r="F606" s="6"/>
      <c r="G606" s="7"/>
    </row>
    <row r="607" spans="4:7" x14ac:dyDescent="0.2">
      <c r="D607" s="6"/>
      <c r="E607" s="6"/>
      <c r="F607" s="6"/>
      <c r="G607" s="7"/>
    </row>
    <row r="608" spans="4:7" x14ac:dyDescent="0.2">
      <c r="D608" s="6"/>
      <c r="E608" s="6"/>
      <c r="F608" s="6"/>
      <c r="G608" s="7"/>
    </row>
    <row r="609" spans="4:7" x14ac:dyDescent="0.2">
      <c r="D609" s="6"/>
      <c r="E609" s="6"/>
      <c r="F609" s="6"/>
      <c r="G609" s="7"/>
    </row>
    <row r="610" spans="4:7" x14ac:dyDescent="0.2">
      <c r="D610" s="6"/>
      <c r="E610" s="6"/>
      <c r="F610" s="6"/>
      <c r="G610" s="7"/>
    </row>
    <row r="611" spans="4:7" x14ac:dyDescent="0.2">
      <c r="D611" s="6"/>
      <c r="E611" s="6"/>
      <c r="F611" s="6"/>
      <c r="G611" s="7"/>
    </row>
    <row r="612" spans="4:7" x14ac:dyDescent="0.2">
      <c r="D612" s="6"/>
      <c r="E612" s="6"/>
      <c r="F612" s="6"/>
      <c r="G612" s="7"/>
    </row>
    <row r="613" spans="4:7" x14ac:dyDescent="0.2">
      <c r="D613" s="6"/>
      <c r="E613" s="6"/>
      <c r="F613" s="6"/>
      <c r="G613" s="7"/>
    </row>
    <row r="614" spans="4:7" x14ac:dyDescent="0.2">
      <c r="D614" s="6"/>
      <c r="E614" s="6"/>
      <c r="F614" s="6"/>
      <c r="G614" s="7"/>
    </row>
    <row r="615" spans="4:7" x14ac:dyDescent="0.2">
      <c r="D615" s="6"/>
      <c r="E615" s="6"/>
      <c r="F615" s="6"/>
      <c r="G615" s="7"/>
    </row>
    <row r="616" spans="4:7" x14ac:dyDescent="0.2">
      <c r="D616" s="6"/>
      <c r="E616" s="6"/>
      <c r="F616" s="6"/>
      <c r="G616" s="7"/>
    </row>
    <row r="617" spans="4:7" x14ac:dyDescent="0.2">
      <c r="D617" s="6"/>
      <c r="E617" s="6"/>
      <c r="F617" s="6"/>
      <c r="G617" s="7"/>
    </row>
    <row r="618" spans="4:7" x14ac:dyDescent="0.2">
      <c r="D618" s="6"/>
      <c r="E618" s="6"/>
      <c r="F618" s="6"/>
      <c r="G618" s="7"/>
    </row>
    <row r="619" spans="4:7" x14ac:dyDescent="0.2">
      <c r="D619" s="6"/>
      <c r="E619" s="6"/>
      <c r="F619" s="6"/>
      <c r="G619" s="7"/>
    </row>
    <row r="620" spans="4:7" x14ac:dyDescent="0.2">
      <c r="D620" s="6"/>
      <c r="E620" s="6"/>
      <c r="F620" s="6"/>
      <c r="G620" s="7"/>
    </row>
    <row r="621" spans="4:7" x14ac:dyDescent="0.2">
      <c r="D621" s="6"/>
      <c r="E621" s="6"/>
      <c r="F621" s="6"/>
      <c r="G621" s="7"/>
    </row>
    <row r="622" spans="4:7" x14ac:dyDescent="0.2">
      <c r="D622" s="6"/>
      <c r="E622" s="6"/>
      <c r="F622" s="6"/>
      <c r="G622" s="7"/>
    </row>
    <row r="623" spans="4:7" x14ac:dyDescent="0.2">
      <c r="D623" s="6"/>
      <c r="E623" s="6"/>
      <c r="F623" s="6"/>
      <c r="G623" s="7"/>
    </row>
    <row r="624" spans="4:7" x14ac:dyDescent="0.2">
      <c r="D624" s="6"/>
      <c r="E624" s="6"/>
      <c r="F624" s="6"/>
      <c r="G624" s="7"/>
    </row>
    <row r="625" spans="4:7" x14ac:dyDescent="0.2">
      <c r="D625" s="6"/>
      <c r="E625" s="6"/>
      <c r="F625" s="6"/>
      <c r="G625" s="7"/>
    </row>
    <row r="626" spans="4:7" x14ac:dyDescent="0.2">
      <c r="D626" s="6"/>
      <c r="E626" s="6"/>
      <c r="F626" s="6"/>
      <c r="G626" s="7"/>
    </row>
    <row r="627" spans="4:7" x14ac:dyDescent="0.2">
      <c r="D627" s="6"/>
      <c r="E627" s="6"/>
      <c r="F627" s="6"/>
      <c r="G627" s="7"/>
    </row>
    <row r="628" spans="4:7" x14ac:dyDescent="0.2">
      <c r="D628" s="6"/>
      <c r="E628" s="6"/>
      <c r="F628" s="6"/>
      <c r="G628" s="7"/>
    </row>
    <row r="629" spans="4:7" x14ac:dyDescent="0.2">
      <c r="D629" s="6"/>
      <c r="E629" s="6"/>
      <c r="F629" s="6"/>
      <c r="G629" s="7"/>
    </row>
    <row r="630" spans="4:7" x14ac:dyDescent="0.2">
      <c r="D630" s="6"/>
      <c r="E630" s="6"/>
      <c r="F630" s="6"/>
      <c r="G630" s="7"/>
    </row>
    <row r="631" spans="4:7" x14ac:dyDescent="0.2">
      <c r="D631" s="6"/>
      <c r="E631" s="6"/>
      <c r="F631" s="6"/>
      <c r="G631" s="7"/>
    </row>
    <row r="632" spans="4:7" x14ac:dyDescent="0.2">
      <c r="D632" s="6"/>
      <c r="E632" s="6"/>
      <c r="F632" s="6"/>
      <c r="G632" s="7"/>
    </row>
    <row r="633" spans="4:7" x14ac:dyDescent="0.2">
      <c r="D633" s="6"/>
      <c r="E633" s="6"/>
      <c r="F633" s="6"/>
      <c r="G633" s="7"/>
    </row>
    <row r="634" spans="4:7" x14ac:dyDescent="0.2">
      <c r="D634" s="6"/>
      <c r="E634" s="6"/>
      <c r="F634" s="6"/>
      <c r="G634" s="7"/>
    </row>
    <row r="635" spans="4:7" x14ac:dyDescent="0.2">
      <c r="D635" s="6"/>
      <c r="E635" s="6"/>
      <c r="F635" s="6"/>
      <c r="G635" s="7"/>
    </row>
    <row r="636" spans="4:7" x14ac:dyDescent="0.2">
      <c r="D636" s="6"/>
      <c r="E636" s="6"/>
      <c r="F636" s="6"/>
      <c r="G636" s="7"/>
    </row>
    <row r="637" spans="4:7" x14ac:dyDescent="0.2">
      <c r="D637" s="6"/>
      <c r="E637" s="6"/>
      <c r="F637" s="6"/>
      <c r="G637" s="7"/>
    </row>
    <row r="638" spans="4:7" x14ac:dyDescent="0.2">
      <c r="D638" s="6"/>
      <c r="E638" s="6"/>
      <c r="F638" s="6"/>
      <c r="G638" s="7"/>
    </row>
    <row r="639" spans="4:7" x14ac:dyDescent="0.2">
      <c r="D639" s="6"/>
      <c r="E639" s="6"/>
      <c r="F639" s="6"/>
      <c r="G639" s="7"/>
    </row>
    <row r="640" spans="4:7" x14ac:dyDescent="0.2">
      <c r="D640" s="6"/>
      <c r="E640" s="6"/>
      <c r="F640" s="6"/>
      <c r="G640" s="7"/>
    </row>
    <row r="641" spans="4:7" x14ac:dyDescent="0.2">
      <c r="D641" s="6"/>
      <c r="E641" s="6"/>
      <c r="F641" s="6"/>
      <c r="G641" s="7"/>
    </row>
    <row r="642" spans="4:7" x14ac:dyDescent="0.2">
      <c r="D642" s="6"/>
      <c r="E642" s="6"/>
      <c r="F642" s="6"/>
      <c r="G642" s="7"/>
    </row>
    <row r="643" spans="4:7" x14ac:dyDescent="0.2">
      <c r="D643" s="6"/>
      <c r="E643" s="6"/>
      <c r="F643" s="6"/>
      <c r="G643" s="7"/>
    </row>
    <row r="644" spans="4:7" x14ac:dyDescent="0.2">
      <c r="D644" s="6"/>
      <c r="E644" s="6"/>
      <c r="F644" s="6"/>
      <c r="G644" s="7"/>
    </row>
    <row r="645" spans="4:7" x14ac:dyDescent="0.2">
      <c r="D645" s="6"/>
      <c r="E645" s="6"/>
      <c r="F645" s="6"/>
      <c r="G645" s="7"/>
    </row>
    <row r="646" spans="4:7" x14ac:dyDescent="0.2">
      <c r="D646" s="6"/>
      <c r="E646" s="6"/>
      <c r="F646" s="6"/>
      <c r="G646" s="7"/>
    </row>
    <row r="647" spans="4:7" x14ac:dyDescent="0.2">
      <c r="D647" s="6"/>
      <c r="E647" s="6"/>
      <c r="F647" s="6"/>
      <c r="G647" s="7"/>
    </row>
    <row r="648" spans="4:7" x14ac:dyDescent="0.2">
      <c r="D648" s="6"/>
      <c r="E648" s="6"/>
      <c r="F648" s="6"/>
      <c r="G648" s="7"/>
    </row>
    <row r="649" spans="4:7" x14ac:dyDescent="0.2">
      <c r="D649" s="6"/>
      <c r="E649" s="6"/>
      <c r="F649" s="6"/>
      <c r="G649" s="7"/>
    </row>
    <row r="650" spans="4:7" x14ac:dyDescent="0.2">
      <c r="D650" s="6"/>
      <c r="E650" s="6"/>
      <c r="F650" s="6"/>
      <c r="G650" s="7"/>
    </row>
    <row r="651" spans="4:7" x14ac:dyDescent="0.2">
      <c r="D651" s="6"/>
      <c r="E651" s="6"/>
      <c r="F651" s="6"/>
      <c r="G651" s="7"/>
    </row>
    <row r="652" spans="4:7" x14ac:dyDescent="0.2">
      <c r="D652" s="6"/>
      <c r="E652" s="6"/>
      <c r="F652" s="6"/>
      <c r="G652" s="7"/>
    </row>
    <row r="653" spans="4:7" x14ac:dyDescent="0.2">
      <c r="D653" s="6"/>
      <c r="E653" s="6"/>
      <c r="F653" s="6"/>
      <c r="G653" s="7"/>
    </row>
    <row r="654" spans="4:7" x14ac:dyDescent="0.2">
      <c r="D654" s="6"/>
      <c r="E654" s="6"/>
      <c r="F654" s="6"/>
      <c r="G654" s="7"/>
    </row>
    <row r="655" spans="4:7" x14ac:dyDescent="0.2">
      <c r="D655" s="6"/>
      <c r="E655" s="6"/>
      <c r="F655" s="6"/>
      <c r="G655" s="7"/>
    </row>
    <row r="656" spans="4:7" x14ac:dyDescent="0.2">
      <c r="D656" s="6"/>
      <c r="E656" s="6"/>
      <c r="F656" s="6"/>
      <c r="G656" s="7"/>
    </row>
    <row r="657" spans="4:7" x14ac:dyDescent="0.2">
      <c r="D657" s="6"/>
      <c r="E657" s="6"/>
      <c r="F657" s="6"/>
      <c r="G657" s="7"/>
    </row>
    <row r="658" spans="4:7" x14ac:dyDescent="0.2">
      <c r="D658" s="6"/>
      <c r="E658" s="6"/>
      <c r="F658" s="6"/>
      <c r="G658" s="7"/>
    </row>
    <row r="659" spans="4:7" x14ac:dyDescent="0.2">
      <c r="D659" s="6"/>
      <c r="E659" s="6"/>
      <c r="F659" s="6"/>
      <c r="G659" s="7"/>
    </row>
    <row r="660" spans="4:7" x14ac:dyDescent="0.2">
      <c r="D660" s="6"/>
      <c r="E660" s="6"/>
      <c r="F660" s="6"/>
      <c r="G660" s="7"/>
    </row>
    <row r="661" spans="4:7" x14ac:dyDescent="0.2">
      <c r="D661" s="6"/>
      <c r="E661" s="6"/>
      <c r="F661" s="6"/>
      <c r="G661" s="7"/>
    </row>
    <row r="662" spans="4:7" x14ac:dyDescent="0.2">
      <c r="D662" s="6"/>
      <c r="E662" s="6"/>
      <c r="F662" s="6"/>
      <c r="G662" s="7"/>
    </row>
    <row r="663" spans="4:7" x14ac:dyDescent="0.2">
      <c r="D663" s="6"/>
      <c r="E663" s="6"/>
      <c r="F663" s="6"/>
      <c r="G663" s="7"/>
    </row>
    <row r="664" spans="4:7" x14ac:dyDescent="0.2">
      <c r="D664" s="6"/>
      <c r="E664" s="6"/>
      <c r="F664" s="6"/>
      <c r="G664" s="7"/>
    </row>
    <row r="665" spans="4:7" x14ac:dyDescent="0.2">
      <c r="D665" s="6"/>
      <c r="E665" s="6"/>
      <c r="F665" s="6"/>
      <c r="G665" s="7"/>
    </row>
    <row r="666" spans="4:7" x14ac:dyDescent="0.2">
      <c r="D666" s="6"/>
      <c r="E666" s="6"/>
      <c r="F666" s="6"/>
      <c r="G666" s="7"/>
    </row>
    <row r="667" spans="4:7" x14ac:dyDescent="0.2">
      <c r="D667" s="6"/>
      <c r="E667" s="6"/>
      <c r="F667" s="6"/>
      <c r="G667" s="7"/>
    </row>
    <row r="668" spans="4:7" x14ac:dyDescent="0.2">
      <c r="D668" s="6"/>
      <c r="E668" s="6"/>
      <c r="F668" s="6"/>
      <c r="G668" s="7"/>
    </row>
    <row r="669" spans="4:7" x14ac:dyDescent="0.2">
      <c r="D669" s="6"/>
      <c r="E669" s="6"/>
      <c r="F669" s="6"/>
      <c r="G669" s="7"/>
    </row>
    <row r="670" spans="4:7" x14ac:dyDescent="0.2">
      <c r="D670" s="6"/>
      <c r="E670" s="6"/>
      <c r="F670" s="6"/>
      <c r="G670" s="7"/>
    </row>
    <row r="671" spans="4:7" x14ac:dyDescent="0.2">
      <c r="D671" s="6"/>
      <c r="E671" s="6"/>
      <c r="F671" s="6"/>
      <c r="G671" s="7"/>
    </row>
    <row r="672" spans="4:7" x14ac:dyDescent="0.2">
      <c r="D672" s="6"/>
      <c r="E672" s="6"/>
      <c r="F672" s="6"/>
      <c r="G672" s="7"/>
    </row>
    <row r="673" spans="4:7" x14ac:dyDescent="0.2">
      <c r="D673" s="6"/>
      <c r="E673" s="6"/>
      <c r="F673" s="6"/>
      <c r="G673" s="7"/>
    </row>
    <row r="674" spans="4:7" x14ac:dyDescent="0.2">
      <c r="D674" s="6"/>
      <c r="E674" s="6"/>
      <c r="F674" s="6"/>
      <c r="G674" s="7"/>
    </row>
    <row r="675" spans="4:7" x14ac:dyDescent="0.2">
      <c r="D675" s="6"/>
      <c r="E675" s="6"/>
      <c r="F675" s="6"/>
      <c r="G675" s="7"/>
    </row>
    <row r="676" spans="4:7" x14ac:dyDescent="0.2">
      <c r="D676" s="6"/>
      <c r="E676" s="6"/>
      <c r="F676" s="6"/>
      <c r="G676" s="7"/>
    </row>
    <row r="677" spans="4:7" x14ac:dyDescent="0.2">
      <c r="D677" s="6"/>
      <c r="E677" s="6"/>
      <c r="F677" s="6"/>
      <c r="G677" s="7"/>
    </row>
    <row r="678" spans="4:7" x14ac:dyDescent="0.2">
      <c r="D678" s="6"/>
      <c r="E678" s="6"/>
      <c r="F678" s="6"/>
      <c r="G678" s="7"/>
    </row>
    <row r="679" spans="4:7" x14ac:dyDescent="0.2">
      <c r="D679" s="6"/>
      <c r="E679" s="6"/>
      <c r="F679" s="6"/>
      <c r="G679" s="7"/>
    </row>
    <row r="680" spans="4:7" x14ac:dyDescent="0.2">
      <c r="D680" s="6"/>
      <c r="E680" s="6"/>
      <c r="F680" s="6"/>
      <c r="G680" s="7"/>
    </row>
    <row r="681" spans="4:7" x14ac:dyDescent="0.2">
      <c r="D681" s="6"/>
      <c r="E681" s="6"/>
      <c r="F681" s="6"/>
      <c r="G681" s="7"/>
    </row>
    <row r="682" spans="4:7" x14ac:dyDescent="0.2">
      <c r="D682" s="6"/>
      <c r="E682" s="6"/>
      <c r="F682" s="6"/>
      <c r="G682" s="7"/>
    </row>
    <row r="683" spans="4:7" x14ac:dyDescent="0.2">
      <c r="D683" s="6"/>
      <c r="E683" s="6"/>
      <c r="F683" s="6"/>
      <c r="G683" s="7"/>
    </row>
    <row r="684" spans="4:7" x14ac:dyDescent="0.2">
      <c r="D684" s="6"/>
      <c r="E684" s="6"/>
      <c r="F684" s="6"/>
      <c r="G684" s="7"/>
    </row>
    <row r="685" spans="4:7" x14ac:dyDescent="0.2">
      <c r="D685" s="6"/>
      <c r="E685" s="6"/>
      <c r="F685" s="6"/>
      <c r="G685" s="7"/>
    </row>
    <row r="686" spans="4:7" x14ac:dyDescent="0.2">
      <c r="D686" s="6"/>
      <c r="E686" s="6"/>
      <c r="F686" s="6"/>
      <c r="G686" s="7"/>
    </row>
    <row r="687" spans="4:7" x14ac:dyDescent="0.2">
      <c r="D687" s="6"/>
      <c r="E687" s="6"/>
      <c r="F687" s="6"/>
      <c r="G687" s="7"/>
    </row>
    <row r="688" spans="4:7" x14ac:dyDescent="0.2">
      <c r="D688" s="6"/>
      <c r="E688" s="6"/>
      <c r="F688" s="6"/>
      <c r="G688" s="7"/>
    </row>
    <row r="689" spans="4:7" x14ac:dyDescent="0.2">
      <c r="D689" s="6"/>
      <c r="E689" s="6"/>
      <c r="F689" s="6"/>
      <c r="G689" s="7"/>
    </row>
    <row r="690" spans="4:7" x14ac:dyDescent="0.2">
      <c r="D690" s="6"/>
      <c r="E690" s="6"/>
      <c r="F690" s="6"/>
      <c r="G690" s="7"/>
    </row>
    <row r="691" spans="4:7" x14ac:dyDescent="0.2">
      <c r="D691" s="6"/>
      <c r="E691" s="6"/>
      <c r="F691" s="6"/>
      <c r="G691" s="7"/>
    </row>
    <row r="692" spans="4:7" x14ac:dyDescent="0.2">
      <c r="D692" s="6"/>
      <c r="E692" s="6"/>
      <c r="F692" s="6"/>
      <c r="G692" s="7"/>
    </row>
    <row r="693" spans="4:7" x14ac:dyDescent="0.2">
      <c r="D693" s="6"/>
      <c r="E693" s="6"/>
      <c r="F693" s="6"/>
      <c r="G693" s="7"/>
    </row>
    <row r="694" spans="4:7" x14ac:dyDescent="0.2">
      <c r="D694" s="6"/>
      <c r="E694" s="6"/>
      <c r="F694" s="6"/>
      <c r="G694" s="7"/>
    </row>
    <row r="695" spans="4:7" x14ac:dyDescent="0.2">
      <c r="D695" s="6"/>
      <c r="E695" s="6"/>
      <c r="F695" s="6"/>
      <c r="G695" s="7"/>
    </row>
    <row r="696" spans="4:7" x14ac:dyDescent="0.2">
      <c r="D696" s="6"/>
      <c r="E696" s="6"/>
      <c r="F696" s="6"/>
      <c r="G696" s="7"/>
    </row>
    <row r="697" spans="4:7" x14ac:dyDescent="0.2">
      <c r="D697" s="6"/>
      <c r="E697" s="6"/>
      <c r="F697" s="6"/>
      <c r="G697" s="7"/>
    </row>
    <row r="698" spans="4:7" x14ac:dyDescent="0.2">
      <c r="D698" s="6"/>
      <c r="E698" s="6"/>
      <c r="F698" s="6"/>
      <c r="G698" s="7"/>
    </row>
    <row r="699" spans="4:7" x14ac:dyDescent="0.2">
      <c r="D699" s="6"/>
      <c r="E699" s="6"/>
      <c r="F699" s="6"/>
      <c r="G699" s="7"/>
    </row>
    <row r="700" spans="4:7" x14ac:dyDescent="0.2">
      <c r="D700" s="6"/>
      <c r="E700" s="6"/>
      <c r="F700" s="6"/>
      <c r="G700" s="7"/>
    </row>
    <row r="701" spans="4:7" x14ac:dyDescent="0.2">
      <c r="D701" s="6"/>
      <c r="E701" s="6"/>
      <c r="F701" s="6"/>
      <c r="G701" s="7"/>
    </row>
    <row r="702" spans="4:7" x14ac:dyDescent="0.2">
      <c r="D702" s="6"/>
      <c r="E702" s="6"/>
      <c r="F702" s="6"/>
      <c r="G702" s="7"/>
    </row>
    <row r="703" spans="4:7" x14ac:dyDescent="0.2">
      <c r="D703" s="6"/>
      <c r="E703" s="6"/>
      <c r="F703" s="6"/>
      <c r="G703" s="7"/>
    </row>
    <row r="704" spans="4:7" x14ac:dyDescent="0.2">
      <c r="D704" s="6"/>
      <c r="E704" s="6"/>
      <c r="F704" s="6"/>
      <c r="G704" s="7"/>
    </row>
    <row r="705" spans="4:7" x14ac:dyDescent="0.2">
      <c r="D705" s="6"/>
      <c r="E705" s="6"/>
      <c r="F705" s="6"/>
      <c r="G705" s="7"/>
    </row>
    <row r="706" spans="4:7" x14ac:dyDescent="0.2">
      <c r="D706" s="6"/>
      <c r="E706" s="6"/>
      <c r="F706" s="6"/>
      <c r="G706" s="7"/>
    </row>
    <row r="707" spans="4:7" x14ac:dyDescent="0.2">
      <c r="D707" s="6"/>
      <c r="E707" s="6"/>
      <c r="F707" s="6"/>
      <c r="G707" s="7"/>
    </row>
    <row r="708" spans="4:7" x14ac:dyDescent="0.2">
      <c r="D708" s="6"/>
      <c r="E708" s="6"/>
      <c r="F708" s="6"/>
      <c r="G708" s="7"/>
    </row>
    <row r="709" spans="4:7" x14ac:dyDescent="0.2">
      <c r="D709" s="6"/>
      <c r="E709" s="6"/>
      <c r="F709" s="6"/>
      <c r="G709" s="7"/>
    </row>
    <row r="710" spans="4:7" x14ac:dyDescent="0.2">
      <c r="D710" s="6"/>
      <c r="E710" s="6"/>
      <c r="F710" s="6"/>
      <c r="G710" s="7"/>
    </row>
    <row r="711" spans="4:7" x14ac:dyDescent="0.2">
      <c r="D711" s="6"/>
      <c r="E711" s="6"/>
      <c r="F711" s="6"/>
      <c r="G711" s="7"/>
    </row>
    <row r="712" spans="4:7" x14ac:dyDescent="0.2">
      <c r="D712" s="6"/>
      <c r="E712" s="6"/>
      <c r="F712" s="6"/>
      <c r="G712" s="7"/>
    </row>
    <row r="713" spans="4:7" x14ac:dyDescent="0.2">
      <c r="D713" s="6"/>
      <c r="E713" s="6"/>
      <c r="F713" s="6"/>
      <c r="G713" s="7"/>
    </row>
    <row r="714" spans="4:7" x14ac:dyDescent="0.2">
      <c r="D714" s="6"/>
      <c r="E714" s="6"/>
      <c r="F714" s="6"/>
      <c r="G714" s="7"/>
    </row>
    <row r="715" spans="4:7" x14ac:dyDescent="0.2">
      <c r="D715" s="6"/>
      <c r="E715" s="6"/>
      <c r="F715" s="6"/>
      <c r="G715" s="7"/>
    </row>
    <row r="716" spans="4:7" x14ac:dyDescent="0.2">
      <c r="D716" s="6"/>
      <c r="E716" s="6"/>
      <c r="F716" s="6"/>
      <c r="G716" s="7"/>
    </row>
    <row r="717" spans="4:7" x14ac:dyDescent="0.2">
      <c r="D717" s="6"/>
      <c r="E717" s="6"/>
      <c r="F717" s="6"/>
      <c r="G717" s="7"/>
    </row>
    <row r="718" spans="4:7" x14ac:dyDescent="0.2">
      <c r="D718" s="6"/>
      <c r="E718" s="6"/>
      <c r="F718" s="6"/>
      <c r="G718" s="7"/>
    </row>
    <row r="719" spans="4:7" x14ac:dyDescent="0.2">
      <c r="D719" s="6"/>
      <c r="E719" s="6"/>
      <c r="F719" s="6"/>
      <c r="G719" s="7"/>
    </row>
    <row r="720" spans="4:7" x14ac:dyDescent="0.2">
      <c r="D720" s="6"/>
      <c r="E720" s="6"/>
      <c r="F720" s="6"/>
      <c r="G720" s="7"/>
    </row>
    <row r="721" spans="4:7" x14ac:dyDescent="0.2">
      <c r="D721" s="6"/>
      <c r="E721" s="6"/>
      <c r="F721" s="6"/>
      <c r="G721" s="7"/>
    </row>
    <row r="722" spans="4:7" x14ac:dyDescent="0.2">
      <c r="D722" s="6"/>
      <c r="E722" s="6"/>
      <c r="F722" s="6"/>
      <c r="G722" s="7"/>
    </row>
    <row r="723" spans="4:7" x14ac:dyDescent="0.2">
      <c r="D723" s="6"/>
      <c r="E723" s="6"/>
      <c r="F723" s="6"/>
      <c r="G723" s="7"/>
    </row>
    <row r="724" spans="4:7" x14ac:dyDescent="0.2">
      <c r="D724" s="6"/>
      <c r="E724" s="6"/>
      <c r="F724" s="6"/>
      <c r="G724" s="7"/>
    </row>
    <row r="725" spans="4:7" x14ac:dyDescent="0.2">
      <c r="D725" s="6"/>
      <c r="E725" s="6"/>
      <c r="F725" s="6"/>
      <c r="G725" s="7"/>
    </row>
    <row r="726" spans="4:7" x14ac:dyDescent="0.2">
      <c r="D726" s="6"/>
      <c r="E726" s="6"/>
      <c r="F726" s="6"/>
      <c r="G726" s="7"/>
    </row>
    <row r="727" spans="4:7" x14ac:dyDescent="0.2">
      <c r="D727" s="6"/>
      <c r="E727" s="6"/>
      <c r="F727" s="6"/>
      <c r="G727" s="7"/>
    </row>
    <row r="728" spans="4:7" x14ac:dyDescent="0.2">
      <c r="D728" s="6"/>
      <c r="E728" s="6"/>
      <c r="F728" s="6"/>
      <c r="G728" s="7"/>
    </row>
    <row r="729" spans="4:7" x14ac:dyDescent="0.2">
      <c r="D729" s="6"/>
      <c r="E729" s="6"/>
      <c r="F729" s="6"/>
      <c r="G729" s="7"/>
    </row>
    <row r="730" spans="4:7" x14ac:dyDescent="0.2">
      <c r="D730" s="6"/>
      <c r="E730" s="6"/>
      <c r="F730" s="6"/>
      <c r="G730" s="7"/>
    </row>
    <row r="731" spans="4:7" x14ac:dyDescent="0.2">
      <c r="D731" s="6"/>
      <c r="E731" s="6"/>
      <c r="F731" s="6"/>
      <c r="G731" s="7"/>
    </row>
    <row r="732" spans="4:7" x14ac:dyDescent="0.2">
      <c r="D732" s="6"/>
      <c r="E732" s="6"/>
      <c r="F732" s="6"/>
      <c r="G732" s="7"/>
    </row>
    <row r="733" spans="4:7" x14ac:dyDescent="0.2">
      <c r="D733" s="6"/>
      <c r="E733" s="6"/>
      <c r="F733" s="6"/>
      <c r="G733" s="7"/>
    </row>
    <row r="734" spans="4:7" x14ac:dyDescent="0.2">
      <c r="D734" s="6"/>
      <c r="E734" s="6"/>
      <c r="F734" s="6"/>
      <c r="G734" s="7"/>
    </row>
    <row r="735" spans="4:7" x14ac:dyDescent="0.2">
      <c r="D735" s="6"/>
      <c r="E735" s="6"/>
      <c r="F735" s="6"/>
      <c r="G735" s="7"/>
    </row>
    <row r="736" spans="4:7" x14ac:dyDescent="0.2">
      <c r="D736" s="6"/>
      <c r="E736" s="6"/>
      <c r="F736" s="6"/>
      <c r="G736" s="7"/>
    </row>
    <row r="737" spans="4:7" x14ac:dyDescent="0.2">
      <c r="D737" s="6"/>
      <c r="E737" s="6"/>
      <c r="F737" s="6"/>
      <c r="G737" s="7"/>
    </row>
    <row r="738" spans="4:7" x14ac:dyDescent="0.2">
      <c r="D738" s="6"/>
      <c r="E738" s="6"/>
      <c r="F738" s="6"/>
      <c r="G738" s="7"/>
    </row>
    <row r="739" spans="4:7" x14ac:dyDescent="0.2">
      <c r="D739" s="6"/>
      <c r="E739" s="6"/>
      <c r="F739" s="6"/>
      <c r="G739" s="7"/>
    </row>
    <row r="740" spans="4:7" x14ac:dyDescent="0.2">
      <c r="D740" s="6"/>
      <c r="E740" s="6"/>
      <c r="F740" s="6"/>
      <c r="G740" s="7"/>
    </row>
    <row r="741" spans="4:7" x14ac:dyDescent="0.2">
      <c r="D741" s="6"/>
      <c r="E741" s="6"/>
      <c r="F741" s="6"/>
      <c r="G741" s="7"/>
    </row>
    <row r="742" spans="4:7" x14ac:dyDescent="0.2">
      <c r="D742" s="6"/>
      <c r="E742" s="6"/>
      <c r="F742" s="6"/>
      <c r="G742" s="7"/>
    </row>
    <row r="743" spans="4:7" x14ac:dyDescent="0.2">
      <c r="D743" s="6"/>
      <c r="E743" s="6"/>
      <c r="F743" s="6"/>
      <c r="G743" s="7"/>
    </row>
    <row r="744" spans="4:7" x14ac:dyDescent="0.2">
      <c r="D744" s="6"/>
      <c r="E744" s="6"/>
      <c r="F744" s="6"/>
      <c r="G744" s="7"/>
    </row>
    <row r="745" spans="4:7" x14ac:dyDescent="0.2">
      <c r="D745" s="6"/>
      <c r="E745" s="6"/>
      <c r="F745" s="6"/>
      <c r="G745" s="7"/>
    </row>
    <row r="746" spans="4:7" x14ac:dyDescent="0.2">
      <c r="D746" s="6"/>
      <c r="E746" s="6"/>
      <c r="F746" s="6"/>
      <c r="G746" s="7"/>
    </row>
    <row r="747" spans="4:7" x14ac:dyDescent="0.2">
      <c r="D747" s="6"/>
      <c r="E747" s="6"/>
      <c r="F747" s="6"/>
      <c r="G747" s="7"/>
    </row>
    <row r="748" spans="4:7" x14ac:dyDescent="0.2">
      <c r="D748" s="6"/>
      <c r="E748" s="6"/>
      <c r="F748" s="6"/>
      <c r="G748" s="7"/>
    </row>
    <row r="749" spans="4:7" x14ac:dyDescent="0.2">
      <c r="D749" s="6"/>
      <c r="E749" s="6"/>
      <c r="F749" s="6"/>
      <c r="G749" s="7"/>
    </row>
    <row r="750" spans="4:7" x14ac:dyDescent="0.2">
      <c r="D750" s="6"/>
      <c r="E750" s="6"/>
      <c r="F750" s="6"/>
      <c r="G750" s="7"/>
    </row>
    <row r="751" spans="4:7" x14ac:dyDescent="0.2">
      <c r="D751" s="6"/>
      <c r="E751" s="6"/>
      <c r="F751" s="6"/>
      <c r="G751" s="7"/>
    </row>
    <row r="752" spans="4:7" x14ac:dyDescent="0.2">
      <c r="D752" s="6"/>
      <c r="E752" s="6"/>
      <c r="F752" s="6"/>
      <c r="G752" s="7"/>
    </row>
    <row r="753" spans="4:7" x14ac:dyDescent="0.2">
      <c r="D753" s="6"/>
      <c r="E753" s="6"/>
      <c r="F753" s="6"/>
      <c r="G753" s="7"/>
    </row>
    <row r="754" spans="4:7" x14ac:dyDescent="0.2">
      <c r="D754" s="6"/>
      <c r="E754" s="6"/>
      <c r="F754" s="6"/>
      <c r="G754" s="7"/>
    </row>
    <row r="755" spans="4:7" x14ac:dyDescent="0.2">
      <c r="D755" s="6"/>
      <c r="E755" s="6"/>
      <c r="F755" s="6"/>
      <c r="G755" s="7"/>
    </row>
    <row r="756" spans="4:7" x14ac:dyDescent="0.2">
      <c r="D756" s="6"/>
      <c r="E756" s="6"/>
      <c r="F756" s="6"/>
      <c r="G756" s="7"/>
    </row>
    <row r="757" spans="4:7" x14ac:dyDescent="0.2">
      <c r="D757" s="6"/>
      <c r="E757" s="6"/>
      <c r="F757" s="6"/>
      <c r="G757" s="7"/>
    </row>
    <row r="758" spans="4:7" x14ac:dyDescent="0.2">
      <c r="D758" s="6"/>
      <c r="E758" s="6"/>
      <c r="F758" s="6"/>
      <c r="G758" s="7"/>
    </row>
    <row r="759" spans="4:7" x14ac:dyDescent="0.2">
      <c r="D759" s="6"/>
      <c r="E759" s="6"/>
      <c r="F759" s="6"/>
      <c r="G759" s="7"/>
    </row>
    <row r="760" spans="4:7" x14ac:dyDescent="0.2">
      <c r="D760" s="6"/>
      <c r="E760" s="6"/>
      <c r="F760" s="6"/>
      <c r="G760" s="7"/>
    </row>
    <row r="761" spans="4:7" x14ac:dyDescent="0.2">
      <c r="D761" s="6"/>
      <c r="E761" s="6"/>
      <c r="F761" s="6"/>
      <c r="G761" s="7"/>
    </row>
    <row r="762" spans="4:7" x14ac:dyDescent="0.2">
      <c r="D762" s="6"/>
      <c r="E762" s="6"/>
      <c r="F762" s="6"/>
      <c r="G762" s="7"/>
    </row>
    <row r="763" spans="4:7" x14ac:dyDescent="0.2">
      <c r="D763" s="6"/>
      <c r="E763" s="6"/>
      <c r="F763" s="6"/>
      <c r="G763" s="7"/>
    </row>
    <row r="764" spans="4:7" x14ac:dyDescent="0.2">
      <c r="D764" s="6"/>
      <c r="E764" s="6"/>
      <c r="F764" s="6"/>
      <c r="G764" s="7"/>
    </row>
    <row r="765" spans="4:7" x14ac:dyDescent="0.2">
      <c r="D765" s="6"/>
      <c r="E765" s="6"/>
      <c r="F765" s="6"/>
      <c r="G765" s="7"/>
    </row>
    <row r="766" spans="4:7" x14ac:dyDescent="0.2">
      <c r="D766" s="6"/>
      <c r="E766" s="6"/>
      <c r="F766" s="6"/>
      <c r="G766" s="7"/>
    </row>
    <row r="767" spans="4:7" x14ac:dyDescent="0.2">
      <c r="D767" s="6"/>
      <c r="E767" s="6"/>
      <c r="F767" s="6"/>
      <c r="G767" s="7"/>
    </row>
    <row r="768" spans="4:7" x14ac:dyDescent="0.2">
      <c r="D768" s="6"/>
      <c r="E768" s="6"/>
      <c r="F768" s="6"/>
      <c r="G768" s="7"/>
    </row>
    <row r="769" spans="4:7" x14ac:dyDescent="0.2">
      <c r="D769" s="6"/>
      <c r="E769" s="6"/>
      <c r="F769" s="6"/>
      <c r="G769" s="7"/>
    </row>
    <row r="770" spans="4:7" x14ac:dyDescent="0.2">
      <c r="D770" s="6"/>
      <c r="E770" s="6"/>
      <c r="F770" s="6"/>
      <c r="G770" s="7"/>
    </row>
    <row r="771" spans="4:7" x14ac:dyDescent="0.2">
      <c r="D771" s="6"/>
      <c r="E771" s="6"/>
      <c r="F771" s="6"/>
      <c r="G771" s="7"/>
    </row>
    <row r="772" spans="4:7" x14ac:dyDescent="0.2">
      <c r="D772" s="6"/>
      <c r="E772" s="6"/>
      <c r="F772" s="6"/>
      <c r="G772" s="7"/>
    </row>
    <row r="773" spans="4:7" x14ac:dyDescent="0.2">
      <c r="D773" s="6"/>
      <c r="E773" s="6"/>
      <c r="F773" s="6"/>
      <c r="G773" s="7"/>
    </row>
    <row r="774" spans="4:7" x14ac:dyDescent="0.2">
      <c r="D774" s="6"/>
      <c r="E774" s="6"/>
      <c r="F774" s="6"/>
      <c r="G774" s="7"/>
    </row>
    <row r="775" spans="4:7" x14ac:dyDescent="0.2">
      <c r="D775" s="6"/>
      <c r="E775" s="6"/>
      <c r="F775" s="6"/>
      <c r="G775" s="7"/>
    </row>
    <row r="776" spans="4:7" x14ac:dyDescent="0.2">
      <c r="D776" s="6"/>
      <c r="E776" s="6"/>
      <c r="F776" s="6"/>
      <c r="G776" s="7"/>
    </row>
    <row r="777" spans="4:7" x14ac:dyDescent="0.2">
      <c r="D777" s="6"/>
      <c r="E777" s="6"/>
      <c r="F777" s="6"/>
      <c r="G777" s="7"/>
    </row>
    <row r="778" spans="4:7" x14ac:dyDescent="0.2">
      <c r="D778" s="6"/>
      <c r="E778" s="6"/>
      <c r="F778" s="6"/>
      <c r="G778" s="7"/>
    </row>
    <row r="779" spans="4:7" x14ac:dyDescent="0.2">
      <c r="D779" s="6"/>
      <c r="E779" s="6"/>
      <c r="F779" s="6"/>
      <c r="G779" s="7"/>
    </row>
    <row r="780" spans="4:7" x14ac:dyDescent="0.2">
      <c r="D780" s="6"/>
      <c r="E780" s="6"/>
      <c r="F780" s="6"/>
      <c r="G780" s="7"/>
    </row>
    <row r="781" spans="4:7" x14ac:dyDescent="0.2">
      <c r="D781" s="6"/>
      <c r="E781" s="6"/>
      <c r="F781" s="6"/>
      <c r="G781" s="7"/>
    </row>
    <row r="782" spans="4:7" x14ac:dyDescent="0.2">
      <c r="D782" s="6"/>
      <c r="E782" s="6"/>
      <c r="F782" s="6"/>
      <c r="G782" s="7"/>
    </row>
    <row r="783" spans="4:7" x14ac:dyDescent="0.2">
      <c r="D783" s="6"/>
      <c r="E783" s="6"/>
      <c r="F783" s="6"/>
      <c r="G783" s="7"/>
    </row>
    <row r="784" spans="4:7" x14ac:dyDescent="0.2">
      <c r="D784" s="6"/>
      <c r="E784" s="6"/>
      <c r="F784" s="6"/>
      <c r="G784" s="7"/>
    </row>
    <row r="785" spans="4:7" x14ac:dyDescent="0.2">
      <c r="D785" s="6"/>
      <c r="E785" s="6"/>
      <c r="F785" s="6"/>
      <c r="G785" s="7"/>
    </row>
    <row r="786" spans="4:7" x14ac:dyDescent="0.2">
      <c r="D786" s="6"/>
      <c r="E786" s="6"/>
      <c r="F786" s="6"/>
      <c r="G786" s="7"/>
    </row>
    <row r="787" spans="4:7" x14ac:dyDescent="0.2">
      <c r="D787" s="6"/>
      <c r="E787" s="6"/>
      <c r="F787" s="6"/>
      <c r="G787" s="7"/>
    </row>
    <row r="788" spans="4:7" x14ac:dyDescent="0.2">
      <c r="D788" s="6"/>
      <c r="E788" s="6"/>
      <c r="F788" s="6"/>
      <c r="G788" s="7"/>
    </row>
    <row r="789" spans="4:7" x14ac:dyDescent="0.2">
      <c r="D789" s="6"/>
      <c r="E789" s="6"/>
      <c r="F789" s="6"/>
      <c r="G789" s="7"/>
    </row>
    <row r="790" spans="4:7" x14ac:dyDescent="0.2">
      <c r="D790" s="6"/>
      <c r="E790" s="6"/>
      <c r="F790" s="6"/>
      <c r="G790" s="7"/>
    </row>
    <row r="791" spans="4:7" x14ac:dyDescent="0.2">
      <c r="D791" s="6"/>
      <c r="E791" s="6"/>
      <c r="F791" s="6"/>
      <c r="G791" s="7"/>
    </row>
    <row r="792" spans="4:7" x14ac:dyDescent="0.2">
      <c r="D792" s="6"/>
      <c r="E792" s="6"/>
      <c r="F792" s="6"/>
      <c r="G792" s="7"/>
    </row>
    <row r="793" spans="4:7" x14ac:dyDescent="0.2">
      <c r="D793" s="6"/>
      <c r="E793" s="6"/>
      <c r="F793" s="6"/>
      <c r="G793" s="7"/>
    </row>
    <row r="794" spans="4:7" x14ac:dyDescent="0.2">
      <c r="D794" s="6"/>
      <c r="E794" s="6"/>
      <c r="F794" s="6"/>
      <c r="G794" s="7"/>
    </row>
    <row r="795" spans="4:7" x14ac:dyDescent="0.2">
      <c r="D795" s="6"/>
      <c r="E795" s="6"/>
      <c r="F795" s="6"/>
      <c r="G795" s="7"/>
    </row>
    <row r="796" spans="4:7" x14ac:dyDescent="0.2">
      <c r="D796" s="6"/>
      <c r="E796" s="6"/>
      <c r="F796" s="6"/>
      <c r="G796" s="7"/>
    </row>
    <row r="797" spans="4:7" x14ac:dyDescent="0.2">
      <c r="D797" s="6"/>
      <c r="E797" s="6"/>
      <c r="F797" s="6"/>
      <c r="G797" s="7"/>
    </row>
    <row r="798" spans="4:7" x14ac:dyDescent="0.2">
      <c r="D798" s="6"/>
      <c r="E798" s="6"/>
      <c r="F798" s="6"/>
      <c r="G798" s="7"/>
    </row>
    <row r="799" spans="4:7" x14ac:dyDescent="0.2">
      <c r="D799" s="6"/>
      <c r="E799" s="6"/>
      <c r="F799" s="6"/>
      <c r="G799" s="7"/>
    </row>
    <row r="800" spans="4:7" x14ac:dyDescent="0.2">
      <c r="D800" s="6"/>
      <c r="E800" s="6"/>
      <c r="F800" s="6"/>
      <c r="G800" s="7"/>
    </row>
    <row r="801" spans="4:7" x14ac:dyDescent="0.2">
      <c r="D801" s="6"/>
      <c r="E801" s="6"/>
      <c r="F801" s="6"/>
      <c r="G801" s="7"/>
    </row>
    <row r="802" spans="4:7" x14ac:dyDescent="0.2">
      <c r="D802" s="6"/>
      <c r="E802" s="6"/>
      <c r="F802" s="6"/>
      <c r="G802" s="7"/>
    </row>
    <row r="803" spans="4:7" x14ac:dyDescent="0.2">
      <c r="D803" s="6"/>
      <c r="E803" s="6"/>
      <c r="F803" s="6"/>
      <c r="G803" s="7"/>
    </row>
    <row r="804" spans="4:7" x14ac:dyDescent="0.2">
      <c r="D804" s="6"/>
      <c r="E804" s="6"/>
      <c r="F804" s="6"/>
      <c r="G804" s="7"/>
    </row>
    <row r="805" spans="4:7" x14ac:dyDescent="0.2">
      <c r="D805" s="6"/>
      <c r="E805" s="6"/>
      <c r="F805" s="6"/>
      <c r="G805" s="7"/>
    </row>
    <row r="806" spans="4:7" x14ac:dyDescent="0.2">
      <c r="D806" s="6"/>
      <c r="E806" s="6"/>
      <c r="F806" s="6"/>
      <c r="G806" s="7"/>
    </row>
    <row r="807" spans="4:7" x14ac:dyDescent="0.2">
      <c r="D807" s="6"/>
      <c r="E807" s="6"/>
      <c r="F807" s="6"/>
      <c r="G807" s="7"/>
    </row>
    <row r="808" spans="4:7" x14ac:dyDescent="0.2">
      <c r="D808" s="6"/>
      <c r="E808" s="6"/>
      <c r="F808" s="6"/>
      <c r="G808" s="7"/>
    </row>
    <row r="809" spans="4:7" x14ac:dyDescent="0.2">
      <c r="D809" s="6"/>
      <c r="E809" s="6"/>
      <c r="F809" s="6"/>
      <c r="G809" s="7"/>
    </row>
    <row r="810" spans="4:7" x14ac:dyDescent="0.2">
      <c r="D810" s="6"/>
      <c r="E810" s="6"/>
      <c r="F810" s="6"/>
      <c r="G810" s="7"/>
    </row>
    <row r="811" spans="4:7" x14ac:dyDescent="0.2">
      <c r="D811" s="6"/>
      <c r="E811" s="6"/>
      <c r="F811" s="6"/>
      <c r="G811" s="7"/>
    </row>
    <row r="812" spans="4:7" x14ac:dyDescent="0.2">
      <c r="D812" s="6"/>
      <c r="E812" s="6"/>
      <c r="F812" s="6"/>
      <c r="G812" s="7"/>
    </row>
    <row r="813" spans="4:7" x14ac:dyDescent="0.2">
      <c r="D813" s="6"/>
      <c r="E813" s="6"/>
      <c r="F813" s="6"/>
      <c r="G813" s="7"/>
    </row>
    <row r="814" spans="4:7" x14ac:dyDescent="0.2">
      <c r="D814" s="6"/>
      <c r="E814" s="6"/>
      <c r="F814" s="6"/>
      <c r="G814" s="7"/>
    </row>
    <row r="815" spans="4:7" x14ac:dyDescent="0.2">
      <c r="D815" s="6"/>
      <c r="E815" s="6"/>
      <c r="F815" s="6"/>
      <c r="G815" s="7"/>
    </row>
    <row r="816" spans="4:7" x14ac:dyDescent="0.2">
      <c r="D816" s="6"/>
      <c r="E816" s="6"/>
      <c r="F816" s="6"/>
      <c r="G816" s="7"/>
    </row>
    <row r="817" spans="4:7" x14ac:dyDescent="0.2">
      <c r="D817" s="6"/>
      <c r="E817" s="6"/>
      <c r="F817" s="6"/>
      <c r="G817" s="7"/>
    </row>
    <row r="818" spans="4:7" x14ac:dyDescent="0.2">
      <c r="D818" s="6"/>
      <c r="E818" s="6"/>
      <c r="F818" s="6"/>
      <c r="G818" s="7"/>
    </row>
    <row r="819" spans="4:7" x14ac:dyDescent="0.2">
      <c r="D819" s="6"/>
      <c r="E819" s="6"/>
      <c r="F819" s="6"/>
      <c r="G819" s="7"/>
    </row>
    <row r="820" spans="4:7" x14ac:dyDescent="0.2">
      <c r="D820" s="6"/>
      <c r="E820" s="6"/>
      <c r="F820" s="6"/>
      <c r="G820" s="7"/>
    </row>
    <row r="821" spans="4:7" x14ac:dyDescent="0.2">
      <c r="D821" s="6"/>
      <c r="E821" s="6"/>
      <c r="F821" s="6"/>
      <c r="G821" s="7"/>
    </row>
    <row r="822" spans="4:7" x14ac:dyDescent="0.2">
      <c r="D822" s="6"/>
      <c r="E822" s="6"/>
      <c r="F822" s="6"/>
      <c r="G822" s="7"/>
    </row>
    <row r="823" spans="4:7" x14ac:dyDescent="0.2">
      <c r="D823" s="6"/>
      <c r="E823" s="6"/>
      <c r="F823" s="6"/>
      <c r="G823" s="7"/>
    </row>
    <row r="824" spans="4:7" x14ac:dyDescent="0.2">
      <c r="D824" s="6"/>
      <c r="E824" s="6"/>
      <c r="F824" s="6"/>
      <c r="G824" s="7"/>
    </row>
    <row r="825" spans="4:7" x14ac:dyDescent="0.2">
      <c r="D825" s="6"/>
      <c r="E825" s="6"/>
      <c r="F825" s="6"/>
      <c r="G825" s="7"/>
    </row>
    <row r="826" spans="4:7" x14ac:dyDescent="0.2">
      <c r="D826" s="6"/>
      <c r="E826" s="6"/>
      <c r="F826" s="6"/>
      <c r="G826" s="7"/>
    </row>
    <row r="827" spans="4:7" x14ac:dyDescent="0.2">
      <c r="D827" s="6"/>
      <c r="E827" s="6"/>
      <c r="F827" s="6"/>
      <c r="G827" s="7"/>
    </row>
    <row r="828" spans="4:7" x14ac:dyDescent="0.2">
      <c r="D828" s="6"/>
      <c r="E828" s="6"/>
      <c r="F828" s="6"/>
      <c r="G828" s="7"/>
    </row>
    <row r="829" spans="4:7" x14ac:dyDescent="0.2">
      <c r="D829" s="6"/>
      <c r="E829" s="6"/>
      <c r="F829" s="6"/>
      <c r="G829" s="7"/>
    </row>
    <row r="830" spans="4:7" x14ac:dyDescent="0.2">
      <c r="D830" s="6"/>
      <c r="E830" s="6"/>
      <c r="F830" s="6"/>
      <c r="G830" s="7"/>
    </row>
    <row r="831" spans="4:7" x14ac:dyDescent="0.2">
      <c r="D831" s="6"/>
      <c r="E831" s="6"/>
      <c r="F831" s="6"/>
      <c r="G831" s="7"/>
    </row>
    <row r="832" spans="4:7" x14ac:dyDescent="0.2">
      <c r="D832" s="6"/>
      <c r="E832" s="6"/>
      <c r="F832" s="6"/>
      <c r="G832" s="7"/>
    </row>
    <row r="833" spans="4:7" x14ac:dyDescent="0.2">
      <c r="D833" s="6"/>
      <c r="E833" s="6"/>
      <c r="F833" s="6"/>
      <c r="G833" s="7"/>
    </row>
    <row r="834" spans="4:7" x14ac:dyDescent="0.2">
      <c r="D834" s="6"/>
      <c r="E834" s="6"/>
      <c r="F834" s="6"/>
      <c r="G834" s="7"/>
    </row>
    <row r="835" spans="4:7" x14ac:dyDescent="0.2">
      <c r="D835" s="6"/>
      <c r="E835" s="6"/>
      <c r="F835" s="6"/>
      <c r="G835" s="7"/>
    </row>
    <row r="836" spans="4:7" x14ac:dyDescent="0.2">
      <c r="D836" s="6"/>
      <c r="E836" s="6"/>
      <c r="F836" s="6"/>
      <c r="G836" s="7"/>
    </row>
    <row r="837" spans="4:7" x14ac:dyDescent="0.2">
      <c r="D837" s="6"/>
      <c r="E837" s="6"/>
      <c r="F837" s="6"/>
      <c r="G837" s="7"/>
    </row>
    <row r="838" spans="4:7" x14ac:dyDescent="0.2">
      <c r="D838" s="6"/>
      <c r="E838" s="6"/>
      <c r="F838" s="6"/>
      <c r="G838" s="7"/>
    </row>
    <row r="839" spans="4:7" x14ac:dyDescent="0.2">
      <c r="D839" s="6"/>
      <c r="E839" s="6"/>
      <c r="F839" s="6"/>
      <c r="G839" s="7"/>
    </row>
    <row r="840" spans="4:7" x14ac:dyDescent="0.2">
      <c r="D840" s="6"/>
      <c r="E840" s="6"/>
      <c r="F840" s="6"/>
      <c r="G840" s="7"/>
    </row>
    <row r="841" spans="4:7" x14ac:dyDescent="0.2">
      <c r="D841" s="6"/>
      <c r="E841" s="6"/>
      <c r="F841" s="6"/>
      <c r="G841" s="7"/>
    </row>
    <row r="842" spans="4:7" x14ac:dyDescent="0.2">
      <c r="D842" s="6"/>
      <c r="E842" s="6"/>
      <c r="F842" s="6"/>
      <c r="G842" s="7"/>
    </row>
    <row r="843" spans="4:7" x14ac:dyDescent="0.2">
      <c r="D843" s="6"/>
      <c r="E843" s="6"/>
      <c r="F843" s="6"/>
      <c r="G843" s="7"/>
    </row>
    <row r="844" spans="4:7" x14ac:dyDescent="0.2">
      <c r="D844" s="6"/>
      <c r="E844" s="6"/>
      <c r="F844" s="6"/>
      <c r="G844" s="7"/>
    </row>
    <row r="845" spans="4:7" x14ac:dyDescent="0.2">
      <c r="D845" s="6"/>
      <c r="E845" s="6"/>
      <c r="F845" s="6"/>
      <c r="G845" s="7"/>
    </row>
    <row r="846" spans="4:7" x14ac:dyDescent="0.2">
      <c r="D846" s="6"/>
      <c r="E846" s="6"/>
      <c r="F846" s="6"/>
      <c r="G846" s="7"/>
    </row>
    <row r="847" spans="4:7" x14ac:dyDescent="0.2">
      <c r="D847" s="6"/>
      <c r="E847" s="6"/>
      <c r="F847" s="6"/>
      <c r="G847" s="7"/>
    </row>
    <row r="848" spans="4:7" x14ac:dyDescent="0.2">
      <c r="D848" s="6"/>
      <c r="E848" s="6"/>
      <c r="F848" s="6"/>
      <c r="G848" s="7"/>
    </row>
    <row r="849" spans="4:7" x14ac:dyDescent="0.2">
      <c r="D849" s="6"/>
      <c r="E849" s="6"/>
      <c r="F849" s="6"/>
      <c r="G849" s="7"/>
    </row>
    <row r="850" spans="4:7" x14ac:dyDescent="0.2">
      <c r="D850" s="6"/>
      <c r="E850" s="6"/>
      <c r="F850" s="6"/>
      <c r="G850" s="7"/>
    </row>
    <row r="851" spans="4:7" x14ac:dyDescent="0.2">
      <c r="D851" s="6"/>
      <c r="E851" s="6"/>
      <c r="F851" s="6"/>
      <c r="G851" s="7"/>
    </row>
    <row r="852" spans="4:7" x14ac:dyDescent="0.2">
      <c r="D852" s="6"/>
      <c r="E852" s="6"/>
      <c r="F852" s="6"/>
      <c r="G852" s="7"/>
    </row>
    <row r="853" spans="4:7" x14ac:dyDescent="0.2">
      <c r="D853" s="6"/>
      <c r="E853" s="6"/>
      <c r="F853" s="6"/>
      <c r="G853" s="7"/>
    </row>
    <row r="854" spans="4:7" x14ac:dyDescent="0.2">
      <c r="D854" s="6"/>
      <c r="E854" s="6"/>
      <c r="F854" s="6"/>
      <c r="G854" s="7"/>
    </row>
    <row r="855" spans="4:7" x14ac:dyDescent="0.2">
      <c r="D855" s="6"/>
      <c r="E855" s="6"/>
      <c r="F855" s="6"/>
      <c r="G855" s="7"/>
    </row>
    <row r="856" spans="4:7" x14ac:dyDescent="0.2">
      <c r="D856" s="6"/>
      <c r="E856" s="6"/>
      <c r="F856" s="6"/>
      <c r="G856" s="7"/>
    </row>
    <row r="857" spans="4:7" x14ac:dyDescent="0.2">
      <c r="D857" s="6"/>
      <c r="E857" s="6"/>
      <c r="F857" s="6"/>
      <c r="G857" s="7"/>
    </row>
    <row r="858" spans="4:7" x14ac:dyDescent="0.2">
      <c r="D858" s="6"/>
      <c r="E858" s="6"/>
      <c r="F858" s="6"/>
      <c r="G858" s="7"/>
    </row>
    <row r="859" spans="4:7" x14ac:dyDescent="0.2">
      <c r="D859" s="6"/>
      <c r="E859" s="6"/>
      <c r="F859" s="6"/>
      <c r="G859" s="7"/>
    </row>
    <row r="860" spans="4:7" x14ac:dyDescent="0.2">
      <c r="D860" s="6"/>
      <c r="E860" s="6"/>
      <c r="F860" s="6"/>
      <c r="G860" s="7"/>
    </row>
    <row r="861" spans="4:7" x14ac:dyDescent="0.2">
      <c r="D861" s="6"/>
      <c r="E861" s="6"/>
      <c r="F861" s="6"/>
      <c r="G861" s="7"/>
    </row>
    <row r="862" spans="4:7" x14ac:dyDescent="0.2">
      <c r="D862" s="6"/>
      <c r="E862" s="6"/>
      <c r="F862" s="6"/>
      <c r="G862" s="7"/>
    </row>
    <row r="863" spans="4:7" x14ac:dyDescent="0.2">
      <c r="D863" s="6"/>
      <c r="E863" s="6"/>
      <c r="F863" s="6"/>
      <c r="G863" s="7"/>
    </row>
    <row r="864" spans="4:7" x14ac:dyDescent="0.2">
      <c r="D864" s="6"/>
      <c r="E864" s="6"/>
      <c r="F864" s="6"/>
      <c r="G864" s="7"/>
    </row>
    <row r="865" spans="4:7" x14ac:dyDescent="0.2">
      <c r="D865" s="6"/>
      <c r="E865" s="6"/>
      <c r="F865" s="6"/>
      <c r="G865" s="7"/>
    </row>
    <row r="866" spans="4:7" x14ac:dyDescent="0.2">
      <c r="D866" s="6"/>
      <c r="E866" s="6"/>
      <c r="F866" s="6"/>
      <c r="G866" s="7"/>
    </row>
    <row r="867" spans="4:7" x14ac:dyDescent="0.2">
      <c r="D867" s="6"/>
      <c r="E867" s="6"/>
      <c r="F867" s="6"/>
      <c r="G867" s="7"/>
    </row>
    <row r="868" spans="4:7" x14ac:dyDescent="0.2">
      <c r="D868" s="6"/>
      <c r="E868" s="6"/>
      <c r="F868" s="6"/>
      <c r="G868" s="7"/>
    </row>
    <row r="869" spans="4:7" x14ac:dyDescent="0.2">
      <c r="D869" s="6"/>
      <c r="E869" s="6"/>
      <c r="F869" s="6"/>
      <c r="G869" s="7"/>
    </row>
    <row r="870" spans="4:7" x14ac:dyDescent="0.2">
      <c r="D870" s="6"/>
      <c r="E870" s="6"/>
      <c r="F870" s="6"/>
      <c r="G870" s="7"/>
    </row>
    <row r="871" spans="4:7" x14ac:dyDescent="0.2">
      <c r="D871" s="6"/>
      <c r="E871" s="6"/>
      <c r="F871" s="6"/>
      <c r="G871" s="7"/>
    </row>
    <row r="872" spans="4:7" x14ac:dyDescent="0.2">
      <c r="D872" s="6"/>
      <c r="E872" s="6"/>
      <c r="F872" s="6"/>
      <c r="G872" s="7"/>
    </row>
    <row r="873" spans="4:7" x14ac:dyDescent="0.2">
      <c r="D873" s="6"/>
      <c r="E873" s="6"/>
      <c r="F873" s="6"/>
      <c r="G873" s="7"/>
    </row>
    <row r="874" spans="4:7" x14ac:dyDescent="0.2">
      <c r="D874" s="6"/>
      <c r="E874" s="6"/>
      <c r="F874" s="6"/>
      <c r="G874" s="7"/>
    </row>
    <row r="875" spans="4:7" x14ac:dyDescent="0.2">
      <c r="D875" s="6"/>
      <c r="E875" s="6"/>
      <c r="F875" s="6"/>
      <c r="G875" s="7"/>
    </row>
    <row r="876" spans="4:7" x14ac:dyDescent="0.2">
      <c r="D876" s="6"/>
      <c r="E876" s="6"/>
      <c r="F876" s="6"/>
      <c r="G876" s="7"/>
    </row>
    <row r="877" spans="4:7" x14ac:dyDescent="0.2">
      <c r="D877" s="6"/>
      <c r="E877" s="6"/>
      <c r="F877" s="6"/>
      <c r="G877" s="7"/>
    </row>
    <row r="878" spans="4:7" x14ac:dyDescent="0.2">
      <c r="D878" s="6"/>
      <c r="E878" s="6"/>
      <c r="F878" s="6"/>
      <c r="G878" s="7"/>
    </row>
    <row r="879" spans="4:7" x14ac:dyDescent="0.2">
      <c r="D879" s="6"/>
      <c r="E879" s="6"/>
      <c r="F879" s="6"/>
      <c r="G879" s="7"/>
    </row>
    <row r="880" spans="4:7" x14ac:dyDescent="0.2">
      <c r="D880" s="6"/>
      <c r="E880" s="6"/>
      <c r="F880" s="6"/>
      <c r="G880" s="7"/>
    </row>
    <row r="881" spans="4:7" x14ac:dyDescent="0.2">
      <c r="D881" s="6"/>
      <c r="E881" s="6"/>
      <c r="F881" s="6"/>
      <c r="G881" s="7"/>
    </row>
    <row r="882" spans="4:7" x14ac:dyDescent="0.2">
      <c r="D882" s="6"/>
      <c r="E882" s="6"/>
      <c r="F882" s="6"/>
      <c r="G882" s="7"/>
    </row>
    <row r="883" spans="4:7" x14ac:dyDescent="0.2">
      <c r="D883" s="6"/>
      <c r="E883" s="6"/>
      <c r="F883" s="6"/>
      <c r="G883" s="7"/>
    </row>
    <row r="884" spans="4:7" x14ac:dyDescent="0.2">
      <c r="D884" s="6"/>
      <c r="E884" s="6"/>
      <c r="F884" s="6"/>
      <c r="G884" s="7"/>
    </row>
    <row r="885" spans="4:7" x14ac:dyDescent="0.2">
      <c r="D885" s="6"/>
      <c r="E885" s="6"/>
      <c r="F885" s="6"/>
      <c r="G885" s="7"/>
    </row>
    <row r="886" spans="4:7" x14ac:dyDescent="0.2">
      <c r="D886" s="6"/>
      <c r="E886" s="6"/>
      <c r="F886" s="6"/>
      <c r="G886" s="7"/>
    </row>
    <row r="887" spans="4:7" x14ac:dyDescent="0.2">
      <c r="D887" s="6"/>
      <c r="E887" s="6"/>
      <c r="F887" s="6"/>
      <c r="G887" s="7"/>
    </row>
    <row r="888" spans="4:7" x14ac:dyDescent="0.2">
      <c r="D888" s="6"/>
      <c r="E888" s="6"/>
      <c r="F888" s="6"/>
      <c r="G888" s="7"/>
    </row>
    <row r="889" spans="4:7" x14ac:dyDescent="0.2">
      <c r="D889" s="6"/>
      <c r="E889" s="6"/>
      <c r="F889" s="6"/>
      <c r="G889" s="7"/>
    </row>
    <row r="890" spans="4:7" x14ac:dyDescent="0.2">
      <c r="D890" s="6"/>
      <c r="E890" s="6"/>
      <c r="F890" s="6"/>
      <c r="G890" s="7"/>
    </row>
    <row r="891" spans="4:7" x14ac:dyDescent="0.2">
      <c r="D891" s="6"/>
      <c r="E891" s="6"/>
      <c r="F891" s="6"/>
      <c r="G891" s="7"/>
    </row>
    <row r="892" spans="4:7" x14ac:dyDescent="0.2">
      <c r="D892" s="6"/>
      <c r="E892" s="6"/>
      <c r="F892" s="6"/>
      <c r="G892" s="7"/>
    </row>
    <row r="893" spans="4:7" x14ac:dyDescent="0.2">
      <c r="D893" s="6"/>
      <c r="E893" s="6"/>
      <c r="F893" s="6"/>
      <c r="G893" s="7"/>
    </row>
    <row r="894" spans="4:7" x14ac:dyDescent="0.2">
      <c r="D894" s="6"/>
      <c r="E894" s="6"/>
      <c r="F894" s="6"/>
      <c r="G894" s="7"/>
    </row>
    <row r="895" spans="4:7" x14ac:dyDescent="0.2">
      <c r="D895" s="6"/>
      <c r="E895" s="6"/>
      <c r="F895" s="6"/>
      <c r="G895" s="7"/>
    </row>
    <row r="896" spans="4:7" x14ac:dyDescent="0.2">
      <c r="D896" s="6"/>
      <c r="E896" s="6"/>
      <c r="F896" s="6"/>
      <c r="G896" s="7"/>
    </row>
    <row r="897" spans="4:7" x14ac:dyDescent="0.2">
      <c r="D897" s="6"/>
      <c r="E897" s="6"/>
      <c r="F897" s="6"/>
      <c r="G897" s="7"/>
    </row>
    <row r="898" spans="4:7" x14ac:dyDescent="0.2">
      <c r="D898" s="6"/>
      <c r="E898" s="6"/>
      <c r="F898" s="6"/>
      <c r="G898" s="7"/>
    </row>
    <row r="899" spans="4:7" x14ac:dyDescent="0.2">
      <c r="D899" s="6"/>
      <c r="E899" s="6"/>
      <c r="F899" s="6"/>
      <c r="G899" s="7"/>
    </row>
    <row r="900" spans="4:7" x14ac:dyDescent="0.2">
      <c r="D900" s="6"/>
      <c r="E900" s="6"/>
      <c r="F900" s="6"/>
      <c r="G900" s="7"/>
    </row>
    <row r="901" spans="4:7" x14ac:dyDescent="0.2">
      <c r="D901" s="6"/>
      <c r="E901" s="6"/>
      <c r="F901" s="6"/>
      <c r="G901" s="7"/>
    </row>
    <row r="902" spans="4:7" x14ac:dyDescent="0.2">
      <c r="D902" s="6"/>
      <c r="E902" s="6"/>
      <c r="F902" s="6"/>
      <c r="G902" s="7"/>
    </row>
    <row r="903" spans="4:7" x14ac:dyDescent="0.2">
      <c r="D903" s="6"/>
      <c r="E903" s="6"/>
      <c r="F903" s="6"/>
      <c r="G903" s="7"/>
    </row>
    <row r="904" spans="4:7" x14ac:dyDescent="0.2">
      <c r="D904" s="6"/>
      <c r="E904" s="6"/>
      <c r="F904" s="6"/>
      <c r="G904" s="7"/>
    </row>
    <row r="905" spans="4:7" x14ac:dyDescent="0.2">
      <c r="D905" s="6"/>
      <c r="E905" s="6"/>
      <c r="F905" s="6"/>
      <c r="G905" s="7"/>
    </row>
    <row r="906" spans="4:7" x14ac:dyDescent="0.2">
      <c r="D906" s="6"/>
      <c r="E906" s="6"/>
      <c r="F906" s="6"/>
      <c r="G906" s="7"/>
    </row>
    <row r="907" spans="4:7" x14ac:dyDescent="0.2">
      <c r="D907" s="6"/>
      <c r="E907" s="6"/>
      <c r="F907" s="6"/>
      <c r="G907" s="7"/>
    </row>
    <row r="908" spans="4:7" x14ac:dyDescent="0.2">
      <c r="D908" s="6"/>
      <c r="E908" s="6"/>
      <c r="F908" s="6"/>
      <c r="G908" s="7"/>
    </row>
    <row r="909" spans="4:7" x14ac:dyDescent="0.2">
      <c r="D909" s="6"/>
      <c r="E909" s="6"/>
      <c r="F909" s="6"/>
      <c r="G909" s="7"/>
    </row>
    <row r="910" spans="4:7" x14ac:dyDescent="0.2">
      <c r="D910" s="6"/>
      <c r="E910" s="6"/>
      <c r="F910" s="6"/>
      <c r="G910" s="7"/>
    </row>
    <row r="911" spans="4:7" x14ac:dyDescent="0.2">
      <c r="D911" s="6"/>
      <c r="E911" s="6"/>
      <c r="F911" s="6"/>
      <c r="G911" s="7"/>
    </row>
    <row r="912" spans="4:7" x14ac:dyDescent="0.2">
      <c r="D912" s="6"/>
      <c r="E912" s="6"/>
      <c r="F912" s="6"/>
      <c r="G912" s="7"/>
    </row>
    <row r="913" spans="4:7" x14ac:dyDescent="0.2">
      <c r="D913" s="6"/>
      <c r="E913" s="6"/>
      <c r="F913" s="6"/>
      <c r="G913" s="7"/>
    </row>
    <row r="914" spans="4:7" x14ac:dyDescent="0.2">
      <c r="D914" s="6"/>
      <c r="E914" s="6"/>
      <c r="F914" s="6"/>
      <c r="G914" s="7"/>
    </row>
    <row r="915" spans="4:7" x14ac:dyDescent="0.2">
      <c r="D915" s="6"/>
      <c r="E915" s="6"/>
      <c r="F915" s="6"/>
      <c r="G915" s="7"/>
    </row>
    <row r="916" spans="4:7" x14ac:dyDescent="0.2">
      <c r="D916" s="6"/>
      <c r="E916" s="6"/>
      <c r="F916" s="6"/>
      <c r="G916" s="7"/>
    </row>
    <row r="917" spans="4:7" x14ac:dyDescent="0.2">
      <c r="D917" s="6"/>
      <c r="E917" s="6"/>
      <c r="F917" s="6"/>
      <c r="G917" s="7"/>
    </row>
    <row r="918" spans="4:7" x14ac:dyDescent="0.2">
      <c r="D918" s="6"/>
      <c r="E918" s="6"/>
      <c r="F918" s="6"/>
      <c r="G918" s="7"/>
    </row>
    <row r="919" spans="4:7" x14ac:dyDescent="0.2">
      <c r="D919" s="6"/>
      <c r="E919" s="6"/>
      <c r="F919" s="6"/>
      <c r="G919" s="7"/>
    </row>
    <row r="920" spans="4:7" x14ac:dyDescent="0.2">
      <c r="D920" s="6"/>
      <c r="E920" s="6"/>
      <c r="F920" s="6"/>
      <c r="G920" s="7"/>
    </row>
    <row r="921" spans="4:7" x14ac:dyDescent="0.2">
      <c r="D921" s="6"/>
      <c r="E921" s="6"/>
      <c r="F921" s="6"/>
      <c r="G921" s="7"/>
    </row>
    <row r="922" spans="4:7" x14ac:dyDescent="0.2">
      <c r="D922" s="6"/>
      <c r="E922" s="6"/>
      <c r="F922" s="6"/>
      <c r="G922" s="7"/>
    </row>
    <row r="923" spans="4:7" x14ac:dyDescent="0.2">
      <c r="D923" s="6"/>
      <c r="E923" s="6"/>
      <c r="F923" s="6"/>
      <c r="G923" s="7"/>
    </row>
    <row r="924" spans="4:7" x14ac:dyDescent="0.2">
      <c r="D924" s="6"/>
      <c r="E924" s="6"/>
      <c r="F924" s="6"/>
      <c r="G924" s="7"/>
    </row>
    <row r="925" spans="4:7" x14ac:dyDescent="0.2">
      <c r="D925" s="6"/>
      <c r="E925" s="6"/>
      <c r="F925" s="6"/>
      <c r="G925" s="7"/>
    </row>
    <row r="926" spans="4:7" x14ac:dyDescent="0.2">
      <c r="D926" s="6"/>
      <c r="E926" s="6"/>
      <c r="F926" s="6"/>
      <c r="G926" s="7"/>
    </row>
    <row r="927" spans="4:7" x14ac:dyDescent="0.2">
      <c r="D927" s="6"/>
      <c r="E927" s="6"/>
      <c r="F927" s="6"/>
      <c r="G927" s="7"/>
    </row>
    <row r="928" spans="4:7" x14ac:dyDescent="0.2">
      <c r="D928" s="6"/>
      <c r="E928" s="6"/>
      <c r="F928" s="6"/>
      <c r="G928" s="7"/>
    </row>
    <row r="929" spans="4:7" x14ac:dyDescent="0.2">
      <c r="D929" s="6"/>
      <c r="E929" s="6"/>
      <c r="F929" s="6"/>
      <c r="G929" s="7"/>
    </row>
    <row r="930" spans="4:7" x14ac:dyDescent="0.2">
      <c r="D930" s="6"/>
      <c r="E930" s="6"/>
      <c r="F930" s="6"/>
      <c r="G930" s="7"/>
    </row>
    <row r="931" spans="4:7" x14ac:dyDescent="0.2">
      <c r="D931" s="6"/>
      <c r="E931" s="6"/>
      <c r="F931" s="6"/>
      <c r="G931" s="7"/>
    </row>
    <row r="932" spans="4:7" x14ac:dyDescent="0.2">
      <c r="D932" s="6"/>
      <c r="E932" s="6"/>
      <c r="F932" s="6"/>
      <c r="G932" s="7"/>
    </row>
    <row r="933" spans="4:7" x14ac:dyDescent="0.2">
      <c r="D933" s="6"/>
      <c r="E933" s="6"/>
      <c r="F933" s="6"/>
      <c r="G933" s="7"/>
    </row>
    <row r="934" spans="4:7" x14ac:dyDescent="0.2">
      <c r="D934" s="6"/>
      <c r="E934" s="6"/>
      <c r="F934" s="6"/>
      <c r="G934" s="7"/>
    </row>
    <row r="935" spans="4:7" x14ac:dyDescent="0.2">
      <c r="D935" s="6"/>
      <c r="E935" s="6"/>
      <c r="F935" s="6"/>
      <c r="G935" s="7"/>
    </row>
    <row r="936" spans="4:7" x14ac:dyDescent="0.2">
      <c r="D936" s="6"/>
      <c r="E936" s="6"/>
      <c r="F936" s="6"/>
      <c r="G936" s="7"/>
    </row>
    <row r="937" spans="4:7" x14ac:dyDescent="0.2">
      <c r="D937" s="6"/>
      <c r="E937" s="6"/>
      <c r="F937" s="6"/>
      <c r="G937" s="7"/>
    </row>
    <row r="938" spans="4:7" x14ac:dyDescent="0.2">
      <c r="D938" s="6"/>
      <c r="E938" s="6"/>
      <c r="F938" s="6"/>
      <c r="G938" s="7"/>
    </row>
    <row r="939" spans="4:7" x14ac:dyDescent="0.2">
      <c r="D939" s="6"/>
      <c r="E939" s="6"/>
      <c r="F939" s="6"/>
      <c r="G939" s="7"/>
    </row>
    <row r="940" spans="4:7" x14ac:dyDescent="0.2">
      <c r="D940" s="6"/>
      <c r="E940" s="6"/>
      <c r="F940" s="6"/>
      <c r="G940" s="7"/>
    </row>
    <row r="941" spans="4:7" x14ac:dyDescent="0.2">
      <c r="D941" s="6"/>
      <c r="E941" s="6"/>
      <c r="F941" s="6"/>
      <c r="G941" s="7"/>
    </row>
    <row r="942" spans="4:7" x14ac:dyDescent="0.2">
      <c r="D942" s="6"/>
      <c r="E942" s="6"/>
      <c r="F942" s="6"/>
      <c r="G942" s="7"/>
    </row>
    <row r="943" spans="4:7" x14ac:dyDescent="0.2">
      <c r="D943" s="6"/>
      <c r="E943" s="6"/>
      <c r="F943" s="6"/>
      <c r="G943" s="7"/>
    </row>
    <row r="944" spans="4:7" x14ac:dyDescent="0.2">
      <c r="D944" s="6"/>
      <c r="E944" s="6"/>
      <c r="F944" s="6"/>
      <c r="G944" s="7"/>
    </row>
    <row r="945" spans="4:7" x14ac:dyDescent="0.2">
      <c r="D945" s="6"/>
      <c r="E945" s="6"/>
      <c r="F945" s="6"/>
      <c r="G945" s="7"/>
    </row>
    <row r="946" spans="4:7" x14ac:dyDescent="0.2">
      <c r="D946" s="6"/>
      <c r="E946" s="6"/>
      <c r="F946" s="6"/>
      <c r="G946" s="7"/>
    </row>
    <row r="947" spans="4:7" x14ac:dyDescent="0.2">
      <c r="D947" s="6"/>
      <c r="E947" s="6"/>
      <c r="F947" s="6"/>
      <c r="G947" s="7"/>
    </row>
    <row r="948" spans="4:7" x14ac:dyDescent="0.2">
      <c r="D948" s="6"/>
      <c r="E948" s="6"/>
      <c r="F948" s="6"/>
      <c r="G948" s="7"/>
    </row>
    <row r="949" spans="4:7" x14ac:dyDescent="0.2">
      <c r="D949" s="6"/>
      <c r="E949" s="6"/>
      <c r="F949" s="6"/>
      <c r="G949" s="7"/>
    </row>
    <row r="950" spans="4:7" x14ac:dyDescent="0.2">
      <c r="D950" s="6"/>
      <c r="E950" s="6"/>
      <c r="F950" s="6"/>
      <c r="G950" s="7"/>
    </row>
    <row r="951" spans="4:7" x14ac:dyDescent="0.2">
      <c r="D951" s="6"/>
      <c r="E951" s="6"/>
      <c r="F951" s="6"/>
      <c r="G951" s="7"/>
    </row>
    <row r="952" spans="4:7" x14ac:dyDescent="0.2">
      <c r="D952" s="6"/>
      <c r="E952" s="6"/>
      <c r="F952" s="6"/>
      <c r="G952" s="7"/>
    </row>
    <row r="953" spans="4:7" x14ac:dyDescent="0.2">
      <c r="D953" s="6"/>
      <c r="E953" s="6"/>
      <c r="F953" s="6"/>
      <c r="G953" s="7"/>
    </row>
    <row r="954" spans="4:7" x14ac:dyDescent="0.2">
      <c r="D954" s="6"/>
      <c r="E954" s="6"/>
      <c r="F954" s="6"/>
      <c r="G954" s="7"/>
    </row>
    <row r="955" spans="4:7" x14ac:dyDescent="0.2">
      <c r="D955" s="6"/>
      <c r="E955" s="6"/>
      <c r="F955" s="6"/>
      <c r="G955" s="7"/>
    </row>
    <row r="956" spans="4:7" x14ac:dyDescent="0.2">
      <c r="D956" s="6"/>
      <c r="E956" s="6"/>
      <c r="F956" s="6"/>
      <c r="G956" s="7"/>
    </row>
    <row r="957" spans="4:7" x14ac:dyDescent="0.2">
      <c r="D957" s="6"/>
      <c r="E957" s="6"/>
      <c r="F957" s="6"/>
      <c r="G957" s="7"/>
    </row>
    <row r="958" spans="4:7" x14ac:dyDescent="0.2">
      <c r="D958" s="6"/>
      <c r="E958" s="6"/>
      <c r="F958" s="6"/>
      <c r="G958" s="7"/>
    </row>
    <row r="959" spans="4:7" x14ac:dyDescent="0.2">
      <c r="D959" s="6"/>
      <c r="E959" s="6"/>
      <c r="F959" s="6"/>
      <c r="G959" s="7"/>
    </row>
    <row r="960" spans="4:7" x14ac:dyDescent="0.2">
      <c r="D960" s="6"/>
      <c r="E960" s="6"/>
      <c r="F960" s="6"/>
      <c r="G960" s="7"/>
    </row>
    <row r="961" spans="4:7" x14ac:dyDescent="0.2">
      <c r="D961" s="6"/>
      <c r="E961" s="6"/>
      <c r="F961" s="6"/>
      <c r="G961" s="7"/>
    </row>
    <row r="962" spans="4:7" x14ac:dyDescent="0.2">
      <c r="D962" s="6"/>
      <c r="E962" s="6"/>
      <c r="F962" s="6"/>
      <c r="G962" s="7"/>
    </row>
    <row r="963" spans="4:7" x14ac:dyDescent="0.2">
      <c r="D963" s="6"/>
      <c r="E963" s="6"/>
      <c r="F963" s="6"/>
      <c r="G963" s="7"/>
    </row>
    <row r="964" spans="4:7" x14ac:dyDescent="0.2">
      <c r="D964" s="6"/>
      <c r="E964" s="6"/>
      <c r="F964" s="6"/>
      <c r="G964" s="7"/>
    </row>
    <row r="965" spans="4:7" x14ac:dyDescent="0.2">
      <c r="D965" s="6"/>
      <c r="E965" s="6"/>
      <c r="F965" s="6"/>
      <c r="G965" s="7"/>
    </row>
    <row r="966" spans="4:7" x14ac:dyDescent="0.2">
      <c r="D966" s="6"/>
      <c r="E966" s="6"/>
      <c r="F966" s="6"/>
      <c r="G966" s="7"/>
    </row>
    <row r="967" spans="4:7" x14ac:dyDescent="0.2">
      <c r="D967" s="6"/>
      <c r="E967" s="6"/>
      <c r="F967" s="6"/>
      <c r="G967" s="7"/>
    </row>
    <row r="968" spans="4:7" x14ac:dyDescent="0.2">
      <c r="D968" s="6"/>
      <c r="E968" s="6"/>
      <c r="F968" s="6"/>
      <c r="G968" s="7"/>
    </row>
    <row r="969" spans="4:7" x14ac:dyDescent="0.2">
      <c r="D969" s="6"/>
      <c r="E969" s="6"/>
      <c r="F969" s="6"/>
      <c r="G969" s="7"/>
    </row>
    <row r="970" spans="4:7" x14ac:dyDescent="0.2">
      <c r="D970" s="6"/>
      <c r="E970" s="6"/>
      <c r="F970" s="6"/>
      <c r="G970" s="7"/>
    </row>
    <row r="971" spans="4:7" x14ac:dyDescent="0.2">
      <c r="D971" s="6"/>
      <c r="E971" s="6"/>
      <c r="F971" s="6"/>
      <c r="G971" s="7"/>
    </row>
    <row r="972" spans="4:7" x14ac:dyDescent="0.2">
      <c r="D972" s="6"/>
      <c r="E972" s="6"/>
      <c r="F972" s="6"/>
      <c r="G972" s="7"/>
    </row>
    <row r="973" spans="4:7" x14ac:dyDescent="0.2">
      <c r="D973" s="6"/>
      <c r="E973" s="6"/>
      <c r="F973" s="6"/>
      <c r="G973" s="7"/>
    </row>
    <row r="974" spans="4:7" x14ac:dyDescent="0.2">
      <c r="D974" s="6"/>
      <c r="E974" s="6"/>
      <c r="F974" s="6"/>
      <c r="G974" s="7"/>
    </row>
    <row r="975" spans="4:7" x14ac:dyDescent="0.2">
      <c r="D975" s="6"/>
      <c r="E975" s="6"/>
      <c r="F975" s="6"/>
      <c r="G975" s="7"/>
    </row>
    <row r="976" spans="4:7" x14ac:dyDescent="0.2">
      <c r="D976" s="6"/>
      <c r="E976" s="6"/>
      <c r="F976" s="6"/>
      <c r="G976" s="7"/>
    </row>
    <row r="977" spans="4:7" x14ac:dyDescent="0.2">
      <c r="D977" s="6"/>
      <c r="E977" s="6"/>
      <c r="F977" s="6"/>
      <c r="G977" s="7"/>
    </row>
    <row r="978" spans="4:7" x14ac:dyDescent="0.2">
      <c r="D978" s="6"/>
      <c r="E978" s="6"/>
      <c r="F978" s="6"/>
      <c r="G978" s="7"/>
    </row>
    <row r="979" spans="4:7" x14ac:dyDescent="0.2">
      <c r="D979" s="6"/>
      <c r="E979" s="6"/>
      <c r="F979" s="6"/>
      <c r="G979" s="7"/>
    </row>
    <row r="980" spans="4:7" x14ac:dyDescent="0.2">
      <c r="D980" s="6"/>
      <c r="E980" s="6"/>
      <c r="F980" s="6"/>
      <c r="G980" s="7"/>
    </row>
    <row r="981" spans="4:7" x14ac:dyDescent="0.2">
      <c r="D981" s="6"/>
      <c r="E981" s="6"/>
      <c r="F981" s="6"/>
      <c r="G981" s="7"/>
    </row>
    <row r="982" spans="4:7" x14ac:dyDescent="0.2">
      <c r="D982" s="6"/>
      <c r="E982" s="6"/>
      <c r="F982" s="6"/>
      <c r="G982" s="7"/>
    </row>
    <row r="983" spans="4:7" x14ac:dyDescent="0.2">
      <c r="D983" s="6"/>
      <c r="E983" s="6"/>
      <c r="F983" s="6"/>
      <c r="G983" s="7"/>
    </row>
    <row r="984" spans="4:7" x14ac:dyDescent="0.2">
      <c r="D984" s="6"/>
      <c r="E984" s="6"/>
      <c r="F984" s="6"/>
      <c r="G984" s="7"/>
    </row>
    <row r="985" spans="4:7" x14ac:dyDescent="0.2">
      <c r="D985" s="6"/>
      <c r="E985" s="6"/>
      <c r="F985" s="6"/>
      <c r="G985" s="7"/>
    </row>
    <row r="986" spans="4:7" x14ac:dyDescent="0.2">
      <c r="D986" s="6"/>
      <c r="E986" s="6"/>
      <c r="F986" s="6"/>
      <c r="G986" s="7"/>
    </row>
    <row r="987" spans="4:7" x14ac:dyDescent="0.2">
      <c r="D987" s="6"/>
      <c r="E987" s="6"/>
      <c r="F987" s="6"/>
      <c r="G987" s="7"/>
    </row>
    <row r="988" spans="4:7" x14ac:dyDescent="0.2">
      <c r="D988" s="6"/>
      <c r="E988" s="6"/>
      <c r="F988" s="6"/>
      <c r="G988" s="7"/>
    </row>
    <row r="989" spans="4:7" x14ac:dyDescent="0.2">
      <c r="D989" s="6"/>
      <c r="E989" s="6"/>
      <c r="F989" s="6"/>
      <c r="G989" s="7"/>
    </row>
    <row r="990" spans="4:7" x14ac:dyDescent="0.2">
      <c r="D990" s="6"/>
      <c r="E990" s="6"/>
      <c r="F990" s="6"/>
      <c r="G990" s="7"/>
    </row>
    <row r="991" spans="4:7" x14ac:dyDescent="0.2">
      <c r="D991" s="6"/>
      <c r="E991" s="6"/>
      <c r="F991" s="6"/>
      <c r="G991" s="7"/>
    </row>
    <row r="992" spans="4:7" x14ac:dyDescent="0.2">
      <c r="D992" s="6"/>
      <c r="E992" s="6"/>
      <c r="F992" s="6"/>
      <c r="G992" s="7"/>
    </row>
    <row r="993" spans="4:7" x14ac:dyDescent="0.2">
      <c r="D993" s="6"/>
      <c r="E993" s="6"/>
      <c r="F993" s="6"/>
      <c r="G993" s="7"/>
    </row>
    <row r="994" spans="4:7" x14ac:dyDescent="0.2">
      <c r="D994" s="6"/>
      <c r="E994" s="6"/>
      <c r="F994" s="6"/>
      <c r="G994" s="7"/>
    </row>
    <row r="995" spans="4:7" x14ac:dyDescent="0.2">
      <c r="D995" s="6"/>
      <c r="E995" s="6"/>
      <c r="F995" s="6"/>
      <c r="G995" s="7"/>
    </row>
    <row r="996" spans="4:7" x14ac:dyDescent="0.2">
      <c r="D996" s="6"/>
      <c r="E996" s="6"/>
      <c r="F996" s="6"/>
      <c r="G996" s="7"/>
    </row>
    <row r="997" spans="4:7" x14ac:dyDescent="0.2">
      <c r="D997" s="6"/>
      <c r="E997" s="6"/>
      <c r="F997" s="6"/>
      <c r="G997" s="7"/>
    </row>
    <row r="998" spans="4:7" x14ac:dyDescent="0.2">
      <c r="D998" s="6"/>
      <c r="E998" s="6"/>
      <c r="F998" s="6"/>
      <c r="G998" s="7"/>
    </row>
    <row r="999" spans="4:7" x14ac:dyDescent="0.2">
      <c r="D999" s="6"/>
      <c r="E999" s="6"/>
      <c r="F999" s="6"/>
      <c r="G999" s="7"/>
    </row>
    <row r="1000" spans="4:7" x14ac:dyDescent="0.2">
      <c r="D1000" s="6"/>
      <c r="E1000" s="6"/>
      <c r="F1000" s="6"/>
      <c r="G1000" s="7"/>
    </row>
    <row r="1001" spans="4:7" x14ac:dyDescent="0.2">
      <c r="D1001" s="6"/>
      <c r="E1001" s="6"/>
      <c r="F1001" s="6"/>
      <c r="G1001" s="7"/>
    </row>
    <row r="1002" spans="4:7" x14ac:dyDescent="0.2">
      <c r="D1002" s="6"/>
      <c r="E1002" s="6"/>
      <c r="F1002" s="6"/>
      <c r="G1002" s="7"/>
    </row>
    <row r="1003" spans="4:7" x14ac:dyDescent="0.2">
      <c r="D1003" s="6"/>
      <c r="E1003" s="6"/>
      <c r="F1003" s="6"/>
      <c r="G1003" s="7"/>
    </row>
    <row r="1004" spans="4:7" x14ac:dyDescent="0.2">
      <c r="D1004" s="6"/>
      <c r="E1004" s="6"/>
      <c r="F1004" s="6"/>
      <c r="G1004" s="7"/>
    </row>
    <row r="1005" spans="4:7" x14ac:dyDescent="0.2">
      <c r="D1005" s="6"/>
      <c r="E1005" s="6"/>
      <c r="F1005" s="6"/>
      <c r="G1005" s="7"/>
    </row>
    <row r="1006" spans="4:7" x14ac:dyDescent="0.2">
      <c r="D1006" s="6"/>
      <c r="E1006" s="6"/>
      <c r="F1006" s="6"/>
      <c r="G1006" s="7"/>
    </row>
    <row r="1007" spans="4:7" x14ac:dyDescent="0.2">
      <c r="D1007" s="6"/>
      <c r="E1007" s="6"/>
      <c r="F1007" s="6"/>
      <c r="G1007" s="7"/>
    </row>
    <row r="1008" spans="4:7" x14ac:dyDescent="0.2">
      <c r="D1008" s="6"/>
      <c r="E1008" s="6"/>
      <c r="F1008" s="6"/>
      <c r="G1008" s="7"/>
    </row>
    <row r="1009" spans="4:7" x14ac:dyDescent="0.2">
      <c r="D1009" s="6"/>
      <c r="E1009" s="6"/>
      <c r="F1009" s="6"/>
      <c r="G1009" s="7"/>
    </row>
    <row r="1010" spans="4:7" x14ac:dyDescent="0.2">
      <c r="D1010" s="6"/>
      <c r="E1010" s="6"/>
      <c r="F1010" s="6"/>
      <c r="G1010" s="7"/>
    </row>
    <row r="1011" spans="4:7" x14ac:dyDescent="0.2">
      <c r="D1011" s="6"/>
      <c r="E1011" s="6"/>
      <c r="F1011" s="6"/>
      <c r="G1011" s="7"/>
    </row>
    <row r="1012" spans="4:7" x14ac:dyDescent="0.2">
      <c r="D1012" s="6"/>
      <c r="E1012" s="6"/>
      <c r="F1012" s="6"/>
      <c r="G1012" s="7"/>
    </row>
    <row r="1013" spans="4:7" x14ac:dyDescent="0.2">
      <c r="D1013" s="6"/>
      <c r="E1013" s="6"/>
      <c r="F1013" s="6"/>
      <c r="G1013" s="7"/>
    </row>
    <row r="1014" spans="4:7" x14ac:dyDescent="0.2">
      <c r="D1014" s="6"/>
      <c r="E1014" s="6"/>
      <c r="F1014" s="6"/>
      <c r="G1014" s="7"/>
    </row>
    <row r="1015" spans="4:7" x14ac:dyDescent="0.2">
      <c r="D1015" s="6"/>
      <c r="E1015" s="6"/>
      <c r="F1015" s="6"/>
      <c r="G1015" s="7"/>
    </row>
    <row r="1016" spans="4:7" x14ac:dyDescent="0.2">
      <c r="D1016" s="6"/>
      <c r="E1016" s="6"/>
      <c r="F1016" s="6"/>
      <c r="G1016" s="7"/>
    </row>
    <row r="1017" spans="4:7" x14ac:dyDescent="0.2">
      <c r="D1017" s="6"/>
      <c r="E1017" s="6"/>
      <c r="F1017" s="6"/>
      <c r="G1017" s="7"/>
    </row>
    <row r="1018" spans="4:7" x14ac:dyDescent="0.2">
      <c r="D1018" s="6"/>
      <c r="E1018" s="6"/>
      <c r="F1018" s="6"/>
      <c r="G1018" s="7"/>
    </row>
    <row r="1019" spans="4:7" x14ac:dyDescent="0.2">
      <c r="D1019" s="6"/>
      <c r="E1019" s="6"/>
      <c r="F1019" s="6"/>
      <c r="G1019" s="7"/>
    </row>
    <row r="1020" spans="4:7" x14ac:dyDescent="0.2">
      <c r="D1020" s="6"/>
      <c r="E1020" s="6"/>
      <c r="F1020" s="6"/>
      <c r="G1020" s="7"/>
    </row>
    <row r="1021" spans="4:7" x14ac:dyDescent="0.2">
      <c r="D1021" s="6"/>
      <c r="E1021" s="6"/>
      <c r="F1021" s="6"/>
      <c r="G1021" s="7"/>
    </row>
    <row r="1022" spans="4:7" x14ac:dyDescent="0.2">
      <c r="D1022" s="6"/>
      <c r="E1022" s="6"/>
      <c r="F1022" s="6"/>
      <c r="G1022" s="7"/>
    </row>
    <row r="1023" spans="4:7" x14ac:dyDescent="0.2">
      <c r="D1023" s="6"/>
      <c r="E1023" s="6"/>
      <c r="F1023" s="6"/>
      <c r="G1023" s="7"/>
    </row>
    <row r="1024" spans="4:7" x14ac:dyDescent="0.2">
      <c r="D1024" s="6"/>
      <c r="E1024" s="6"/>
      <c r="F1024" s="6"/>
      <c r="G1024" s="7"/>
    </row>
    <row r="1025" spans="4:7" x14ac:dyDescent="0.2">
      <c r="D1025" s="6"/>
      <c r="E1025" s="6"/>
      <c r="F1025" s="6"/>
      <c r="G1025" s="7"/>
    </row>
    <row r="1026" spans="4:7" x14ac:dyDescent="0.2">
      <c r="D1026" s="6"/>
      <c r="E1026" s="6"/>
      <c r="F1026" s="6"/>
      <c r="G1026" s="7"/>
    </row>
    <row r="1027" spans="4:7" x14ac:dyDescent="0.2">
      <c r="D1027" s="6"/>
      <c r="E1027" s="6"/>
      <c r="F1027" s="6"/>
      <c r="G1027" s="7"/>
    </row>
    <row r="1028" spans="4:7" x14ac:dyDescent="0.2">
      <c r="D1028" s="6"/>
      <c r="E1028" s="6"/>
      <c r="F1028" s="6"/>
      <c r="G1028" s="7"/>
    </row>
    <row r="1029" spans="4:7" x14ac:dyDescent="0.2">
      <c r="D1029" s="6"/>
      <c r="E1029" s="6"/>
      <c r="F1029" s="6"/>
      <c r="G1029" s="7"/>
    </row>
    <row r="1030" spans="4:7" x14ac:dyDescent="0.2">
      <c r="D1030" s="6"/>
      <c r="E1030" s="6"/>
      <c r="F1030" s="6"/>
      <c r="G1030" s="7"/>
    </row>
    <row r="1031" spans="4:7" x14ac:dyDescent="0.2">
      <c r="D1031" s="6"/>
      <c r="E1031" s="6"/>
      <c r="F1031" s="6"/>
      <c r="G1031" s="7"/>
    </row>
    <row r="1032" spans="4:7" x14ac:dyDescent="0.2">
      <c r="D1032" s="6"/>
      <c r="E1032" s="6"/>
      <c r="F1032" s="6"/>
      <c r="G1032" s="7"/>
    </row>
    <row r="1033" spans="4:7" x14ac:dyDescent="0.2">
      <c r="D1033" s="6"/>
      <c r="E1033" s="6"/>
      <c r="F1033" s="6"/>
      <c r="G1033" s="7"/>
    </row>
    <row r="1034" spans="4:7" x14ac:dyDescent="0.2">
      <c r="D1034" s="6"/>
      <c r="E1034" s="6"/>
      <c r="F1034" s="6"/>
      <c r="G1034" s="7"/>
    </row>
    <row r="1035" spans="4:7" x14ac:dyDescent="0.2">
      <c r="D1035" s="6"/>
      <c r="E1035" s="6"/>
      <c r="F1035" s="6"/>
      <c r="G1035" s="7"/>
    </row>
    <row r="1036" spans="4:7" x14ac:dyDescent="0.2">
      <c r="D1036" s="6"/>
      <c r="E1036" s="6"/>
      <c r="F1036" s="6"/>
      <c r="G1036" s="7"/>
    </row>
    <row r="1037" spans="4:7" x14ac:dyDescent="0.2">
      <c r="D1037" s="6"/>
      <c r="E1037" s="6"/>
      <c r="F1037" s="6"/>
      <c r="G1037" s="7"/>
    </row>
    <row r="1038" spans="4:7" x14ac:dyDescent="0.2">
      <c r="D1038" s="6"/>
      <c r="E1038" s="6"/>
      <c r="F1038" s="6"/>
      <c r="G1038" s="7"/>
    </row>
    <row r="1039" spans="4:7" x14ac:dyDescent="0.2">
      <c r="D1039" s="6"/>
      <c r="E1039" s="6"/>
      <c r="F1039" s="6"/>
      <c r="G1039" s="7"/>
    </row>
    <row r="1040" spans="4:7" x14ac:dyDescent="0.2">
      <c r="D1040" s="6"/>
      <c r="E1040" s="6"/>
      <c r="F1040" s="6"/>
      <c r="G1040" s="7"/>
    </row>
    <row r="1041" spans="4:7" x14ac:dyDescent="0.2">
      <c r="D1041" s="6"/>
      <c r="E1041" s="6"/>
      <c r="F1041" s="6"/>
      <c r="G1041" s="7"/>
    </row>
    <row r="1042" spans="4:7" x14ac:dyDescent="0.2">
      <c r="D1042" s="6"/>
      <c r="E1042" s="6"/>
      <c r="F1042" s="6"/>
      <c r="G1042" s="7"/>
    </row>
    <row r="1043" spans="4:7" x14ac:dyDescent="0.2">
      <c r="D1043" s="6"/>
      <c r="E1043" s="6"/>
      <c r="F1043" s="6"/>
      <c r="G1043" s="7"/>
    </row>
    <row r="1044" spans="4:7" x14ac:dyDescent="0.2">
      <c r="D1044" s="6"/>
      <c r="E1044" s="6"/>
      <c r="F1044" s="6"/>
      <c r="G1044" s="7"/>
    </row>
    <row r="1045" spans="4:7" x14ac:dyDescent="0.2">
      <c r="D1045" s="6"/>
      <c r="E1045" s="6"/>
      <c r="F1045" s="6"/>
      <c r="G1045" s="7"/>
    </row>
    <row r="1046" spans="4:7" x14ac:dyDescent="0.2">
      <c r="D1046" s="6"/>
      <c r="E1046" s="6"/>
      <c r="F1046" s="6"/>
      <c r="G1046" s="7"/>
    </row>
    <row r="1047" spans="4:7" x14ac:dyDescent="0.2">
      <c r="D1047" s="6"/>
      <c r="E1047" s="6"/>
      <c r="F1047" s="6"/>
      <c r="G1047" s="7"/>
    </row>
    <row r="1048" spans="4:7" x14ac:dyDescent="0.2">
      <c r="D1048" s="6"/>
      <c r="E1048" s="6"/>
      <c r="F1048" s="6"/>
      <c r="G1048" s="7"/>
    </row>
    <row r="1049" spans="4:7" x14ac:dyDescent="0.2">
      <c r="D1049" s="6"/>
      <c r="E1049" s="6"/>
      <c r="F1049" s="6"/>
      <c r="G1049" s="7"/>
    </row>
    <row r="1050" spans="4:7" x14ac:dyDescent="0.2">
      <c r="D1050" s="6"/>
      <c r="E1050" s="6"/>
      <c r="F1050" s="6"/>
      <c r="G1050" s="7"/>
    </row>
    <row r="1051" spans="4:7" x14ac:dyDescent="0.2">
      <c r="D1051" s="6"/>
      <c r="E1051" s="6"/>
      <c r="F1051" s="6"/>
      <c r="G1051" s="7"/>
    </row>
    <row r="1052" spans="4:7" x14ac:dyDescent="0.2">
      <c r="D1052" s="6"/>
      <c r="E1052" s="6"/>
      <c r="F1052" s="6"/>
      <c r="G1052" s="7"/>
    </row>
    <row r="1053" spans="4:7" x14ac:dyDescent="0.2">
      <c r="D1053" s="6"/>
      <c r="E1053" s="6"/>
      <c r="F1053" s="6"/>
      <c r="G1053" s="7"/>
    </row>
    <row r="1054" spans="4:7" x14ac:dyDescent="0.2">
      <c r="D1054" s="6"/>
      <c r="E1054" s="6"/>
      <c r="F1054" s="6"/>
      <c r="G1054" s="7"/>
    </row>
    <row r="1055" spans="4:7" x14ac:dyDescent="0.2">
      <c r="D1055" s="6"/>
      <c r="E1055" s="6"/>
      <c r="F1055" s="6"/>
      <c r="G1055" s="7"/>
    </row>
    <row r="1056" spans="4:7" x14ac:dyDescent="0.2">
      <c r="D1056" s="6"/>
      <c r="E1056" s="6"/>
      <c r="F1056" s="6"/>
      <c r="G1056" s="7"/>
    </row>
    <row r="1057" spans="4:7" x14ac:dyDescent="0.2">
      <c r="D1057" s="6"/>
      <c r="E1057" s="6"/>
      <c r="F1057" s="6"/>
      <c r="G1057" s="7"/>
    </row>
    <row r="1058" spans="4:7" x14ac:dyDescent="0.2">
      <c r="D1058" s="6"/>
      <c r="E1058" s="6"/>
      <c r="F1058" s="6"/>
      <c r="G1058" s="7"/>
    </row>
    <row r="1059" spans="4:7" x14ac:dyDescent="0.2">
      <c r="D1059" s="6"/>
      <c r="E1059" s="6"/>
      <c r="F1059" s="6"/>
      <c r="G1059" s="7"/>
    </row>
    <row r="1060" spans="4:7" x14ac:dyDescent="0.2">
      <c r="D1060" s="6"/>
      <c r="E1060" s="6"/>
      <c r="F1060" s="6"/>
      <c r="G1060" s="7"/>
    </row>
    <row r="1061" spans="4:7" x14ac:dyDescent="0.2">
      <c r="D1061" s="6"/>
      <c r="E1061" s="6"/>
      <c r="F1061" s="6"/>
      <c r="G1061" s="7"/>
    </row>
    <row r="1062" spans="4:7" x14ac:dyDescent="0.2">
      <c r="D1062" s="6"/>
      <c r="E1062" s="6"/>
      <c r="F1062" s="6"/>
      <c r="G1062" s="7"/>
    </row>
    <row r="1063" spans="4:7" x14ac:dyDescent="0.2">
      <c r="D1063" s="6"/>
      <c r="E1063" s="6"/>
      <c r="F1063" s="6"/>
      <c r="G1063" s="7"/>
    </row>
    <row r="1064" spans="4:7" x14ac:dyDescent="0.2">
      <c r="D1064" s="6"/>
      <c r="E1064" s="6"/>
      <c r="F1064" s="6"/>
      <c r="G1064" s="7"/>
    </row>
    <row r="1065" spans="4:7" x14ac:dyDescent="0.2">
      <c r="D1065" s="6"/>
      <c r="E1065" s="6"/>
      <c r="F1065" s="6"/>
      <c r="G1065" s="7"/>
    </row>
    <row r="1066" spans="4:7" x14ac:dyDescent="0.2">
      <c r="D1066" s="6"/>
      <c r="E1066" s="6"/>
      <c r="F1066" s="6"/>
      <c r="G1066" s="7"/>
    </row>
    <row r="1067" spans="4:7" x14ac:dyDescent="0.2">
      <c r="D1067" s="6"/>
      <c r="E1067" s="6"/>
      <c r="F1067" s="6"/>
      <c r="G1067" s="7"/>
    </row>
    <row r="1068" spans="4:7" x14ac:dyDescent="0.2">
      <c r="D1068" s="6"/>
      <c r="E1068" s="6"/>
      <c r="F1068" s="6"/>
      <c r="G1068" s="7"/>
    </row>
    <row r="1069" spans="4:7" x14ac:dyDescent="0.2">
      <c r="D1069" s="6"/>
      <c r="E1069" s="6"/>
      <c r="F1069" s="6"/>
      <c r="G1069" s="7"/>
    </row>
    <row r="1070" spans="4:7" x14ac:dyDescent="0.2">
      <c r="D1070" s="6"/>
      <c r="E1070" s="6"/>
      <c r="F1070" s="6"/>
      <c r="G1070" s="7"/>
    </row>
    <row r="1071" spans="4:7" x14ac:dyDescent="0.2">
      <c r="D1071" s="6"/>
      <c r="E1071" s="6"/>
      <c r="F1071" s="6"/>
      <c r="G1071" s="7"/>
    </row>
    <row r="1072" spans="4:7" x14ac:dyDescent="0.2">
      <c r="D1072" s="6"/>
      <c r="E1072" s="6"/>
      <c r="F1072" s="6"/>
      <c r="G1072" s="7"/>
    </row>
    <row r="1073" spans="4:7" x14ac:dyDescent="0.2">
      <c r="D1073" s="6"/>
      <c r="E1073" s="6"/>
      <c r="F1073" s="6"/>
      <c r="G1073" s="7"/>
    </row>
    <row r="1074" spans="4:7" x14ac:dyDescent="0.2">
      <c r="D1074" s="6"/>
      <c r="E1074" s="6"/>
      <c r="F1074" s="6"/>
      <c r="G1074" s="7"/>
    </row>
    <row r="1075" spans="4:7" x14ac:dyDescent="0.2">
      <c r="D1075" s="6"/>
      <c r="E1075" s="6"/>
      <c r="F1075" s="6"/>
      <c r="G1075" s="7"/>
    </row>
    <row r="1076" spans="4:7" x14ac:dyDescent="0.2">
      <c r="D1076" s="6"/>
      <c r="E1076" s="6"/>
      <c r="F1076" s="6"/>
      <c r="G1076" s="7"/>
    </row>
    <row r="1077" spans="4:7" x14ac:dyDescent="0.2">
      <c r="D1077" s="6"/>
      <c r="E1077" s="6"/>
      <c r="F1077" s="6"/>
      <c r="G1077" s="7"/>
    </row>
    <row r="1078" spans="4:7" x14ac:dyDescent="0.2">
      <c r="D1078" s="6"/>
      <c r="E1078" s="6"/>
      <c r="F1078" s="6"/>
      <c r="G1078" s="7"/>
    </row>
    <row r="1079" spans="4:7" x14ac:dyDescent="0.2">
      <c r="D1079" s="6"/>
      <c r="E1079" s="6"/>
      <c r="F1079" s="6"/>
      <c r="G1079" s="7"/>
    </row>
    <row r="1080" spans="4:7" x14ac:dyDescent="0.2">
      <c r="D1080" s="6"/>
      <c r="E1080" s="6"/>
      <c r="F1080" s="6"/>
      <c r="G1080" s="7"/>
    </row>
    <row r="1081" spans="4:7" x14ac:dyDescent="0.2">
      <c r="D1081" s="6"/>
      <c r="E1081" s="6"/>
      <c r="F1081" s="6"/>
      <c r="G1081" s="7"/>
    </row>
    <row r="1082" spans="4:7" x14ac:dyDescent="0.2">
      <c r="D1082" s="6"/>
      <c r="E1082" s="6"/>
      <c r="F1082" s="6"/>
      <c r="G1082" s="7"/>
    </row>
    <row r="1083" spans="4:7" x14ac:dyDescent="0.2">
      <c r="D1083" s="6"/>
      <c r="E1083" s="6"/>
      <c r="F1083" s="6"/>
      <c r="G1083" s="7"/>
    </row>
    <row r="1084" spans="4:7" x14ac:dyDescent="0.2">
      <c r="D1084" s="6"/>
      <c r="E1084" s="6"/>
      <c r="F1084" s="6"/>
      <c r="G1084" s="7"/>
    </row>
    <row r="1085" spans="4:7" x14ac:dyDescent="0.2">
      <c r="D1085" s="6"/>
      <c r="E1085" s="6"/>
      <c r="F1085" s="6"/>
      <c r="G1085" s="7"/>
    </row>
    <row r="1086" spans="4:7" x14ac:dyDescent="0.2">
      <c r="D1086" s="6"/>
      <c r="E1086" s="6"/>
      <c r="F1086" s="6"/>
      <c r="G1086" s="7"/>
    </row>
    <row r="1087" spans="4:7" x14ac:dyDescent="0.2">
      <c r="D1087" s="6"/>
      <c r="E1087" s="6"/>
      <c r="F1087" s="6"/>
      <c r="G1087" s="7"/>
    </row>
    <row r="1088" spans="4:7" x14ac:dyDescent="0.2">
      <c r="D1088" s="6"/>
      <c r="E1088" s="6"/>
      <c r="F1088" s="6"/>
      <c r="G1088" s="7"/>
    </row>
    <row r="1089" spans="4:7" x14ac:dyDescent="0.2">
      <c r="D1089" s="6"/>
      <c r="E1089" s="6"/>
      <c r="F1089" s="6"/>
      <c r="G1089" s="7"/>
    </row>
    <row r="1090" spans="4:7" x14ac:dyDescent="0.2">
      <c r="D1090" s="6"/>
      <c r="E1090" s="6"/>
      <c r="F1090" s="6"/>
      <c r="G1090" s="7"/>
    </row>
    <row r="1091" spans="4:7" x14ac:dyDescent="0.2">
      <c r="D1091" s="6"/>
      <c r="E1091" s="6"/>
      <c r="F1091" s="6"/>
      <c r="G1091" s="7"/>
    </row>
    <row r="1092" spans="4:7" x14ac:dyDescent="0.2">
      <c r="D1092" s="6"/>
      <c r="E1092" s="6"/>
      <c r="F1092" s="6"/>
      <c r="G1092" s="7"/>
    </row>
    <row r="1093" spans="4:7" x14ac:dyDescent="0.2">
      <c r="D1093" s="6"/>
      <c r="E1093" s="6"/>
      <c r="F1093" s="6"/>
      <c r="G1093" s="7"/>
    </row>
    <row r="1094" spans="4:7" x14ac:dyDescent="0.2">
      <c r="D1094" s="6"/>
      <c r="E1094" s="6"/>
      <c r="F1094" s="6"/>
      <c r="G1094" s="7"/>
    </row>
    <row r="1095" spans="4:7" x14ac:dyDescent="0.2">
      <c r="D1095" s="6"/>
      <c r="E1095" s="6"/>
      <c r="F1095" s="6"/>
      <c r="G1095" s="7"/>
    </row>
    <row r="1096" spans="4:7" x14ac:dyDescent="0.2">
      <c r="D1096" s="6"/>
      <c r="E1096" s="6"/>
      <c r="F1096" s="6"/>
      <c r="G1096" s="7"/>
    </row>
    <row r="1097" spans="4:7" x14ac:dyDescent="0.2">
      <c r="D1097" s="6"/>
      <c r="E1097" s="6"/>
      <c r="F1097" s="6"/>
      <c r="G1097" s="7"/>
    </row>
    <row r="1098" spans="4:7" x14ac:dyDescent="0.2">
      <c r="D1098" s="6"/>
      <c r="E1098" s="6"/>
      <c r="F1098" s="6"/>
      <c r="G1098" s="7"/>
    </row>
    <row r="1099" spans="4:7" x14ac:dyDescent="0.2">
      <c r="D1099" s="6"/>
      <c r="E1099" s="6"/>
      <c r="F1099" s="6"/>
      <c r="G1099" s="7"/>
    </row>
    <row r="1100" spans="4:7" x14ac:dyDescent="0.2">
      <c r="D1100" s="6"/>
      <c r="E1100" s="6"/>
      <c r="F1100" s="6"/>
      <c r="G1100" s="7"/>
    </row>
    <row r="1101" spans="4:7" x14ac:dyDescent="0.2">
      <c r="D1101" s="6"/>
      <c r="E1101" s="6"/>
      <c r="F1101" s="6"/>
      <c r="G1101" s="7"/>
    </row>
    <row r="1102" spans="4:7" x14ac:dyDescent="0.2">
      <c r="D1102" s="6"/>
      <c r="E1102" s="6"/>
      <c r="F1102" s="6"/>
      <c r="G1102" s="7"/>
    </row>
    <row r="1103" spans="4:7" x14ac:dyDescent="0.2">
      <c r="D1103" s="6"/>
      <c r="E1103" s="6"/>
      <c r="F1103" s="6"/>
      <c r="G1103" s="7"/>
    </row>
    <row r="1104" spans="4:7" x14ac:dyDescent="0.2">
      <c r="D1104" s="6"/>
      <c r="E1104" s="6"/>
      <c r="F1104" s="6"/>
      <c r="G1104" s="7"/>
    </row>
    <row r="1105" spans="4:7" x14ac:dyDescent="0.2">
      <c r="D1105" s="6"/>
      <c r="E1105" s="6"/>
      <c r="F1105" s="6"/>
      <c r="G1105" s="7"/>
    </row>
    <row r="1106" spans="4:7" x14ac:dyDescent="0.2">
      <c r="D1106" s="6"/>
      <c r="E1106" s="6"/>
      <c r="F1106" s="6"/>
      <c r="G1106" s="7"/>
    </row>
    <row r="1107" spans="4:7" x14ac:dyDescent="0.2">
      <c r="D1107" s="6"/>
      <c r="E1107" s="6"/>
      <c r="F1107" s="6"/>
      <c r="G1107" s="7"/>
    </row>
    <row r="1108" spans="4:7" x14ac:dyDescent="0.2">
      <c r="D1108" s="6"/>
      <c r="E1108" s="6"/>
      <c r="F1108" s="6"/>
      <c r="G1108" s="7"/>
    </row>
    <row r="1109" spans="4:7" x14ac:dyDescent="0.2">
      <c r="D1109" s="6"/>
      <c r="E1109" s="6"/>
      <c r="F1109" s="6"/>
      <c r="G1109" s="7"/>
    </row>
    <row r="1110" spans="4:7" x14ac:dyDescent="0.2">
      <c r="D1110" s="6"/>
      <c r="E1110" s="6"/>
      <c r="F1110" s="6"/>
      <c r="G1110" s="7"/>
    </row>
    <row r="1111" spans="4:7" x14ac:dyDescent="0.2">
      <c r="D1111" s="6"/>
      <c r="E1111" s="6"/>
      <c r="F1111" s="6"/>
      <c r="G1111" s="7"/>
    </row>
    <row r="1112" spans="4:7" x14ac:dyDescent="0.2">
      <c r="D1112" s="6"/>
      <c r="E1112" s="6"/>
      <c r="F1112" s="6"/>
      <c r="G1112" s="7"/>
    </row>
    <row r="1113" spans="4:7" x14ac:dyDescent="0.2">
      <c r="D1113" s="6"/>
      <c r="E1113" s="6"/>
      <c r="F1113" s="6"/>
      <c r="G1113" s="7"/>
    </row>
    <row r="1114" spans="4:7" x14ac:dyDescent="0.2">
      <c r="D1114" s="6"/>
      <c r="E1114" s="6"/>
      <c r="F1114" s="6"/>
      <c r="G1114" s="7"/>
    </row>
    <row r="1115" spans="4:7" x14ac:dyDescent="0.2">
      <c r="D1115" s="6"/>
      <c r="E1115" s="6"/>
      <c r="F1115" s="6"/>
      <c r="G1115" s="7"/>
    </row>
    <row r="1116" spans="4:7" x14ac:dyDescent="0.2">
      <c r="D1116" s="6"/>
      <c r="E1116" s="6"/>
      <c r="F1116" s="6"/>
      <c r="G1116" s="7"/>
    </row>
    <row r="1117" spans="4:7" x14ac:dyDescent="0.2">
      <c r="D1117" s="6"/>
      <c r="E1117" s="6"/>
      <c r="F1117" s="6"/>
      <c r="G1117" s="7"/>
    </row>
    <row r="1118" spans="4:7" x14ac:dyDescent="0.2">
      <c r="D1118" s="6"/>
      <c r="E1118" s="6"/>
      <c r="F1118" s="6"/>
      <c r="G1118" s="7"/>
    </row>
    <row r="1119" spans="4:7" x14ac:dyDescent="0.2">
      <c r="D1119" s="6"/>
      <c r="E1119" s="6"/>
      <c r="F1119" s="6"/>
      <c r="G1119" s="7"/>
    </row>
    <row r="1120" spans="4:7" x14ac:dyDescent="0.2">
      <c r="D1120" s="6"/>
      <c r="E1120" s="6"/>
      <c r="F1120" s="6"/>
      <c r="G1120" s="7"/>
    </row>
    <row r="1121" spans="4:7" x14ac:dyDescent="0.2">
      <c r="D1121" s="6"/>
      <c r="E1121" s="6"/>
      <c r="F1121" s="6"/>
      <c r="G1121" s="7"/>
    </row>
    <row r="1122" spans="4:7" x14ac:dyDescent="0.2">
      <c r="D1122" s="6"/>
      <c r="E1122" s="6"/>
      <c r="F1122" s="6"/>
      <c r="G1122" s="7"/>
    </row>
    <row r="1123" spans="4:7" x14ac:dyDescent="0.2">
      <c r="D1123" s="6"/>
      <c r="E1123" s="6"/>
      <c r="F1123" s="6"/>
      <c r="G1123" s="7"/>
    </row>
    <row r="1124" spans="4:7" x14ac:dyDescent="0.2">
      <c r="D1124" s="6"/>
      <c r="E1124" s="6"/>
      <c r="F1124" s="6"/>
      <c r="G1124" s="7"/>
    </row>
    <row r="1125" spans="4:7" x14ac:dyDescent="0.2">
      <c r="D1125" s="6"/>
      <c r="E1125" s="6"/>
      <c r="F1125" s="6"/>
      <c r="G1125" s="7"/>
    </row>
    <row r="1126" spans="4:7" x14ac:dyDescent="0.2">
      <c r="D1126" s="6"/>
      <c r="E1126" s="6"/>
      <c r="F1126" s="6"/>
      <c r="G1126" s="7"/>
    </row>
    <row r="1127" spans="4:7" x14ac:dyDescent="0.2">
      <c r="D1127" s="6"/>
      <c r="E1127" s="6"/>
      <c r="F1127" s="6"/>
      <c r="G1127" s="7"/>
    </row>
    <row r="1128" spans="4:7" x14ac:dyDescent="0.2">
      <c r="D1128" s="6"/>
      <c r="E1128" s="6"/>
      <c r="F1128" s="6"/>
      <c r="G1128" s="7"/>
    </row>
    <row r="1129" spans="4:7" x14ac:dyDescent="0.2">
      <c r="D1129" s="6"/>
      <c r="E1129" s="6"/>
      <c r="F1129" s="6"/>
      <c r="G1129" s="7"/>
    </row>
    <row r="1130" spans="4:7" x14ac:dyDescent="0.2">
      <c r="D1130" s="6"/>
      <c r="E1130" s="6"/>
      <c r="F1130" s="6"/>
      <c r="G1130" s="7"/>
    </row>
    <row r="1131" spans="4:7" x14ac:dyDescent="0.2">
      <c r="D1131" s="6"/>
      <c r="E1131" s="6"/>
      <c r="F1131" s="6"/>
      <c r="G1131" s="7"/>
    </row>
    <row r="1132" spans="4:7" x14ac:dyDescent="0.2">
      <c r="D1132" s="6"/>
      <c r="E1132" s="6"/>
      <c r="F1132" s="6"/>
      <c r="G1132" s="7"/>
    </row>
    <row r="1133" spans="4:7" x14ac:dyDescent="0.2">
      <c r="D1133" s="6"/>
      <c r="E1133" s="6"/>
      <c r="F1133" s="6"/>
      <c r="G1133" s="7"/>
    </row>
    <row r="1134" spans="4:7" x14ac:dyDescent="0.2">
      <c r="D1134" s="6"/>
      <c r="E1134" s="6"/>
      <c r="F1134" s="6"/>
      <c r="G1134" s="7"/>
    </row>
    <row r="1135" spans="4:7" x14ac:dyDescent="0.2">
      <c r="D1135" s="6"/>
      <c r="E1135" s="6"/>
      <c r="F1135" s="6"/>
      <c r="G1135" s="7"/>
    </row>
    <row r="1136" spans="4:7" x14ac:dyDescent="0.2">
      <c r="D1136" s="6"/>
      <c r="E1136" s="6"/>
      <c r="F1136" s="6"/>
      <c r="G1136" s="7"/>
    </row>
    <row r="1137" spans="4:7" x14ac:dyDescent="0.2">
      <c r="D1137" s="6"/>
      <c r="E1137" s="6"/>
      <c r="F1137" s="6"/>
      <c r="G1137" s="7"/>
    </row>
    <row r="1138" spans="4:7" x14ac:dyDescent="0.2">
      <c r="D1138" s="6"/>
      <c r="E1138" s="6"/>
      <c r="F1138" s="6"/>
      <c r="G1138" s="7"/>
    </row>
    <row r="1139" spans="4:7" x14ac:dyDescent="0.2">
      <c r="D1139" s="6"/>
      <c r="E1139" s="6"/>
      <c r="F1139" s="6"/>
      <c r="G1139" s="7"/>
    </row>
    <row r="1140" spans="4:7" x14ac:dyDescent="0.2">
      <c r="D1140" s="6"/>
      <c r="E1140" s="6"/>
      <c r="F1140" s="6"/>
      <c r="G1140" s="7"/>
    </row>
    <row r="1141" spans="4:7" x14ac:dyDescent="0.2">
      <c r="D1141" s="6"/>
      <c r="E1141" s="6"/>
      <c r="F1141" s="6"/>
      <c r="G1141" s="7"/>
    </row>
    <row r="1142" spans="4:7" x14ac:dyDescent="0.2">
      <c r="D1142" s="6"/>
      <c r="E1142" s="6"/>
      <c r="F1142" s="6"/>
      <c r="G1142" s="7"/>
    </row>
    <row r="1143" spans="4:7" x14ac:dyDescent="0.2">
      <c r="D1143" s="6"/>
      <c r="E1143" s="6"/>
      <c r="F1143" s="6"/>
      <c r="G1143" s="7"/>
    </row>
    <row r="1144" spans="4:7" x14ac:dyDescent="0.2">
      <c r="D1144" s="6"/>
      <c r="E1144" s="6"/>
      <c r="F1144" s="6"/>
      <c r="G1144" s="7"/>
    </row>
    <row r="1145" spans="4:7" x14ac:dyDescent="0.2">
      <c r="D1145" s="6"/>
      <c r="E1145" s="6"/>
      <c r="F1145" s="6"/>
      <c r="G1145" s="7"/>
    </row>
    <row r="1146" spans="4:7" x14ac:dyDescent="0.2">
      <c r="D1146" s="6"/>
      <c r="E1146" s="6"/>
      <c r="F1146" s="6"/>
      <c r="G1146" s="7"/>
    </row>
    <row r="1147" spans="4:7" x14ac:dyDescent="0.2">
      <c r="D1147" s="6"/>
      <c r="E1147" s="6"/>
      <c r="F1147" s="6"/>
      <c r="G1147" s="7"/>
    </row>
    <row r="1148" spans="4:7" x14ac:dyDescent="0.2">
      <c r="D1148" s="6"/>
      <c r="E1148" s="6"/>
      <c r="F1148" s="6"/>
      <c r="G1148" s="7"/>
    </row>
    <row r="1149" spans="4:7" x14ac:dyDescent="0.2">
      <c r="D1149" s="6"/>
      <c r="E1149" s="6"/>
      <c r="F1149" s="6"/>
      <c r="G1149" s="7"/>
    </row>
    <row r="1150" spans="4:7" x14ac:dyDescent="0.2">
      <c r="D1150" s="6"/>
      <c r="E1150" s="6"/>
      <c r="F1150" s="6"/>
      <c r="G1150" s="7"/>
    </row>
    <row r="1151" spans="4:7" x14ac:dyDescent="0.2">
      <c r="D1151" s="6"/>
      <c r="E1151" s="6"/>
      <c r="F1151" s="6"/>
      <c r="G1151" s="7"/>
    </row>
    <row r="1152" spans="4:7" x14ac:dyDescent="0.2">
      <c r="D1152" s="6"/>
      <c r="E1152" s="6"/>
      <c r="F1152" s="6"/>
      <c r="G1152" s="7"/>
    </row>
    <row r="1153" spans="4:7" x14ac:dyDescent="0.2">
      <c r="D1153" s="6"/>
      <c r="E1153" s="6"/>
      <c r="F1153" s="6"/>
      <c r="G1153" s="7"/>
    </row>
    <row r="1154" spans="4:7" x14ac:dyDescent="0.2">
      <c r="D1154" s="6"/>
      <c r="E1154" s="6"/>
      <c r="F1154" s="6"/>
      <c r="G1154" s="7"/>
    </row>
    <row r="1155" spans="4:7" x14ac:dyDescent="0.2">
      <c r="D1155" s="6"/>
      <c r="E1155" s="6"/>
      <c r="F1155" s="6"/>
      <c r="G1155" s="7"/>
    </row>
    <row r="1156" spans="4:7" x14ac:dyDescent="0.2">
      <c r="D1156" s="6"/>
      <c r="E1156" s="6"/>
      <c r="F1156" s="6"/>
      <c r="G1156" s="7"/>
    </row>
    <row r="1157" spans="4:7" x14ac:dyDescent="0.2">
      <c r="D1157" s="6"/>
      <c r="E1157" s="6"/>
      <c r="F1157" s="6"/>
      <c r="G1157" s="7"/>
    </row>
    <row r="1158" spans="4:7" x14ac:dyDescent="0.2">
      <c r="D1158" s="6"/>
      <c r="E1158" s="6"/>
      <c r="F1158" s="6"/>
      <c r="G1158" s="7"/>
    </row>
    <row r="1159" spans="4:7" x14ac:dyDescent="0.2">
      <c r="D1159" s="6"/>
      <c r="E1159" s="6"/>
      <c r="F1159" s="6"/>
      <c r="G1159" s="7"/>
    </row>
    <row r="1160" spans="4:7" x14ac:dyDescent="0.2">
      <c r="D1160" s="6"/>
      <c r="E1160" s="6"/>
      <c r="F1160" s="6"/>
      <c r="G1160" s="7"/>
    </row>
    <row r="1161" spans="4:7" x14ac:dyDescent="0.2">
      <c r="D1161" s="6"/>
      <c r="E1161" s="6"/>
      <c r="F1161" s="6"/>
      <c r="G1161" s="7"/>
    </row>
    <row r="1162" spans="4:7" x14ac:dyDescent="0.2">
      <c r="D1162" s="6"/>
      <c r="E1162" s="6"/>
      <c r="F1162" s="6"/>
      <c r="G1162" s="7"/>
    </row>
    <row r="1163" spans="4:7" x14ac:dyDescent="0.2">
      <c r="D1163" s="6"/>
      <c r="E1163" s="6"/>
      <c r="F1163" s="6"/>
      <c r="G1163" s="7"/>
    </row>
    <row r="1164" spans="4:7" x14ac:dyDescent="0.2">
      <c r="D1164" s="6"/>
      <c r="E1164" s="6"/>
      <c r="F1164" s="6"/>
      <c r="G1164" s="7"/>
    </row>
    <row r="1165" spans="4:7" x14ac:dyDescent="0.2">
      <c r="D1165" s="6"/>
      <c r="E1165" s="6"/>
      <c r="F1165" s="6"/>
      <c r="G1165" s="7"/>
    </row>
    <row r="1166" spans="4:7" x14ac:dyDescent="0.2">
      <c r="D1166" s="6"/>
      <c r="E1166" s="6"/>
      <c r="F1166" s="6"/>
      <c r="G1166" s="7"/>
    </row>
    <row r="1167" spans="4:7" x14ac:dyDescent="0.2">
      <c r="D1167" s="6"/>
      <c r="E1167" s="6"/>
      <c r="F1167" s="6"/>
      <c r="G1167" s="7"/>
    </row>
    <row r="1168" spans="4:7" x14ac:dyDescent="0.2">
      <c r="D1168" s="6"/>
      <c r="E1168" s="6"/>
      <c r="F1168" s="6"/>
      <c r="G1168" s="7"/>
    </row>
    <row r="1169" spans="4:7" x14ac:dyDescent="0.2">
      <c r="D1169" s="6"/>
      <c r="E1169" s="6"/>
      <c r="F1169" s="6"/>
      <c r="G1169" s="7"/>
    </row>
    <row r="1170" spans="4:7" x14ac:dyDescent="0.2">
      <c r="D1170" s="6"/>
      <c r="E1170" s="6"/>
      <c r="F1170" s="6"/>
      <c r="G1170" s="7"/>
    </row>
    <row r="1171" spans="4:7" x14ac:dyDescent="0.2">
      <c r="D1171" s="6"/>
      <c r="E1171" s="6"/>
      <c r="F1171" s="6"/>
      <c r="G1171" s="7"/>
    </row>
    <row r="1172" spans="4:7" x14ac:dyDescent="0.2">
      <c r="D1172" s="6"/>
      <c r="E1172" s="6"/>
      <c r="F1172" s="6"/>
      <c r="G1172" s="7"/>
    </row>
    <row r="1173" spans="4:7" x14ac:dyDescent="0.2">
      <c r="D1173" s="6"/>
      <c r="E1173" s="6"/>
      <c r="F1173" s="6"/>
      <c r="G1173" s="7"/>
    </row>
    <row r="1174" spans="4:7" x14ac:dyDescent="0.2">
      <c r="D1174" s="6"/>
      <c r="E1174" s="6"/>
      <c r="F1174" s="6"/>
      <c r="G1174" s="7"/>
    </row>
    <row r="1175" spans="4:7" x14ac:dyDescent="0.2">
      <c r="D1175" s="6"/>
      <c r="E1175" s="6"/>
      <c r="F1175" s="6"/>
      <c r="G1175" s="7"/>
    </row>
    <row r="1176" spans="4:7" x14ac:dyDescent="0.2">
      <c r="D1176" s="6"/>
      <c r="E1176" s="6"/>
      <c r="F1176" s="6"/>
      <c r="G1176" s="7"/>
    </row>
    <row r="1177" spans="4:7" x14ac:dyDescent="0.2">
      <c r="D1177" s="6"/>
      <c r="E1177" s="6"/>
      <c r="F1177" s="6"/>
      <c r="G1177" s="7"/>
    </row>
    <row r="1178" spans="4:7" x14ac:dyDescent="0.2">
      <c r="D1178" s="6"/>
      <c r="E1178" s="6"/>
      <c r="F1178" s="6"/>
      <c r="G1178" s="7"/>
    </row>
    <row r="1179" spans="4:7" x14ac:dyDescent="0.2">
      <c r="D1179" s="6"/>
      <c r="E1179" s="6"/>
      <c r="F1179" s="6"/>
      <c r="G1179" s="7"/>
    </row>
    <row r="1180" spans="4:7" x14ac:dyDescent="0.2">
      <c r="D1180" s="6"/>
      <c r="E1180" s="6"/>
      <c r="F1180" s="6"/>
      <c r="G1180" s="7"/>
    </row>
    <row r="1181" spans="4:7" x14ac:dyDescent="0.2">
      <c r="D1181" s="6"/>
      <c r="E1181" s="6"/>
      <c r="F1181" s="6"/>
      <c r="G1181" s="7"/>
    </row>
    <row r="1182" spans="4:7" x14ac:dyDescent="0.2">
      <c r="D1182" s="6"/>
      <c r="E1182" s="6"/>
      <c r="F1182" s="6"/>
      <c r="G1182" s="7"/>
    </row>
    <row r="1183" spans="4:7" x14ac:dyDescent="0.2">
      <c r="D1183" s="6"/>
      <c r="E1183" s="6"/>
      <c r="F1183" s="6"/>
      <c r="G1183" s="7"/>
    </row>
    <row r="1184" spans="4:7" x14ac:dyDescent="0.2">
      <c r="D1184" s="6"/>
      <c r="E1184" s="6"/>
      <c r="F1184" s="6"/>
      <c r="G1184" s="7"/>
    </row>
    <row r="1185" spans="4:7" x14ac:dyDescent="0.2">
      <c r="D1185" s="6"/>
      <c r="E1185" s="6"/>
      <c r="F1185" s="6"/>
      <c r="G1185" s="7"/>
    </row>
    <row r="1186" spans="4:7" x14ac:dyDescent="0.2">
      <c r="D1186" s="6"/>
      <c r="E1186" s="6"/>
      <c r="F1186" s="6"/>
      <c r="G1186" s="7"/>
    </row>
    <row r="1187" spans="4:7" x14ac:dyDescent="0.2">
      <c r="D1187" s="6"/>
      <c r="E1187" s="6"/>
      <c r="F1187" s="6"/>
      <c r="G1187" s="7"/>
    </row>
    <row r="1188" spans="4:7" x14ac:dyDescent="0.2">
      <c r="D1188" s="6"/>
      <c r="E1188" s="6"/>
      <c r="F1188" s="6"/>
      <c r="G1188" s="7"/>
    </row>
    <row r="1189" spans="4:7" x14ac:dyDescent="0.2">
      <c r="D1189" s="6"/>
      <c r="E1189" s="6"/>
      <c r="F1189" s="6"/>
      <c r="G1189" s="7"/>
    </row>
    <row r="1190" spans="4:7" x14ac:dyDescent="0.2">
      <c r="D1190" s="6"/>
      <c r="E1190" s="6"/>
      <c r="F1190" s="6"/>
      <c r="G1190" s="7"/>
    </row>
    <row r="1191" spans="4:7" x14ac:dyDescent="0.2">
      <c r="D1191" s="6"/>
      <c r="E1191" s="6"/>
      <c r="F1191" s="6"/>
      <c r="G1191" s="7"/>
    </row>
    <row r="1192" spans="4:7" x14ac:dyDescent="0.2">
      <c r="D1192" s="6"/>
      <c r="E1192" s="6"/>
      <c r="F1192" s="6"/>
      <c r="G1192" s="7"/>
    </row>
    <row r="1193" spans="4:7" x14ac:dyDescent="0.2">
      <c r="D1193" s="6"/>
      <c r="E1193" s="6"/>
      <c r="F1193" s="6"/>
      <c r="G1193" s="7"/>
    </row>
    <row r="1194" spans="4:7" x14ac:dyDescent="0.2">
      <c r="D1194" s="6"/>
      <c r="E1194" s="6"/>
      <c r="F1194" s="6"/>
      <c r="G1194" s="7"/>
    </row>
    <row r="1195" spans="4:7" x14ac:dyDescent="0.2">
      <c r="D1195" s="6"/>
      <c r="E1195" s="6"/>
      <c r="F1195" s="6"/>
      <c r="G1195" s="7"/>
    </row>
    <row r="1196" spans="4:7" x14ac:dyDescent="0.2">
      <c r="D1196" s="6"/>
      <c r="E1196" s="6"/>
      <c r="F1196" s="6"/>
      <c r="G1196" s="7"/>
    </row>
    <row r="1197" spans="4:7" x14ac:dyDescent="0.2">
      <c r="D1197" s="6"/>
      <c r="E1197" s="6"/>
      <c r="F1197" s="6"/>
      <c r="G1197" s="7"/>
    </row>
    <row r="1198" spans="4:7" x14ac:dyDescent="0.2">
      <c r="D1198" s="6"/>
      <c r="E1198" s="6"/>
      <c r="F1198" s="6"/>
      <c r="G1198" s="7"/>
    </row>
    <row r="1199" spans="4:7" x14ac:dyDescent="0.2">
      <c r="D1199" s="6"/>
      <c r="E1199" s="6"/>
      <c r="F1199" s="6"/>
      <c r="G1199" s="7"/>
    </row>
    <row r="1200" spans="4:7" x14ac:dyDescent="0.2">
      <c r="D1200" s="6"/>
      <c r="E1200" s="6"/>
      <c r="F1200" s="6"/>
      <c r="G1200" s="7"/>
    </row>
    <row r="1201" spans="4:7" x14ac:dyDescent="0.2">
      <c r="D1201" s="6"/>
      <c r="E1201" s="6"/>
      <c r="F1201" s="6"/>
      <c r="G1201" s="7"/>
    </row>
    <row r="1202" spans="4:7" x14ac:dyDescent="0.2">
      <c r="D1202" s="6"/>
      <c r="E1202" s="6"/>
      <c r="F1202" s="6"/>
      <c r="G1202" s="7"/>
    </row>
    <row r="1203" spans="4:7" x14ac:dyDescent="0.2">
      <c r="D1203" s="6"/>
      <c r="E1203" s="6"/>
      <c r="F1203" s="6"/>
      <c r="G1203" s="7"/>
    </row>
    <row r="1204" spans="4:7" x14ac:dyDescent="0.2">
      <c r="D1204" s="6"/>
      <c r="E1204" s="6"/>
      <c r="F1204" s="6"/>
      <c r="G1204" s="7"/>
    </row>
    <row r="1205" spans="4:7" x14ac:dyDescent="0.2">
      <c r="D1205" s="6"/>
      <c r="E1205" s="6"/>
      <c r="F1205" s="6"/>
      <c r="G1205" s="7"/>
    </row>
    <row r="1206" spans="4:7" x14ac:dyDescent="0.2">
      <c r="D1206" s="6"/>
      <c r="E1206" s="6"/>
      <c r="F1206" s="6"/>
      <c r="G1206" s="7"/>
    </row>
    <row r="1207" spans="4:7" x14ac:dyDescent="0.2">
      <c r="D1207" s="6"/>
      <c r="E1207" s="6"/>
      <c r="F1207" s="6"/>
      <c r="G1207" s="7"/>
    </row>
    <row r="1208" spans="4:7" x14ac:dyDescent="0.2">
      <c r="D1208" s="6"/>
      <c r="E1208" s="6"/>
      <c r="F1208" s="6"/>
      <c r="G1208" s="7"/>
    </row>
    <row r="1209" spans="4:7" x14ac:dyDescent="0.2">
      <c r="D1209" s="6"/>
      <c r="E1209" s="6"/>
      <c r="F1209" s="6"/>
      <c r="G1209" s="7"/>
    </row>
    <row r="1210" spans="4:7" x14ac:dyDescent="0.2">
      <c r="D1210" s="6"/>
      <c r="E1210" s="6"/>
      <c r="F1210" s="6"/>
      <c r="G1210" s="7"/>
    </row>
    <row r="1211" spans="4:7" x14ac:dyDescent="0.2">
      <c r="D1211" s="6"/>
      <c r="E1211" s="6"/>
      <c r="F1211" s="6"/>
      <c r="G1211" s="7"/>
    </row>
    <row r="1212" spans="4:7" x14ac:dyDescent="0.2">
      <c r="D1212" s="6"/>
      <c r="E1212" s="6"/>
      <c r="F1212" s="6"/>
      <c r="G1212" s="7"/>
    </row>
    <row r="1213" spans="4:7" x14ac:dyDescent="0.2">
      <c r="D1213" s="6"/>
      <c r="E1213" s="6"/>
      <c r="F1213" s="6"/>
      <c r="G1213" s="7"/>
    </row>
    <row r="1214" spans="4:7" x14ac:dyDescent="0.2">
      <c r="D1214" s="6"/>
      <c r="E1214" s="6"/>
      <c r="F1214" s="6"/>
      <c r="G1214" s="7"/>
    </row>
    <row r="1215" spans="4:7" x14ac:dyDescent="0.2">
      <c r="D1215" s="6"/>
      <c r="E1215" s="6"/>
      <c r="F1215" s="6"/>
      <c r="G1215" s="7"/>
    </row>
    <row r="1216" spans="4:7" x14ac:dyDescent="0.2">
      <c r="D1216" s="6"/>
      <c r="E1216" s="6"/>
      <c r="F1216" s="6"/>
      <c r="G1216" s="7"/>
    </row>
    <row r="1217" spans="4:7" x14ac:dyDescent="0.2">
      <c r="D1217" s="6"/>
      <c r="E1217" s="6"/>
      <c r="F1217" s="6"/>
      <c r="G1217" s="7"/>
    </row>
    <row r="1218" spans="4:7" x14ac:dyDescent="0.2">
      <c r="D1218" s="6"/>
      <c r="E1218" s="6"/>
      <c r="F1218" s="6"/>
      <c r="G1218" s="7"/>
    </row>
    <row r="1219" spans="4:7" x14ac:dyDescent="0.2">
      <c r="D1219" s="6"/>
      <c r="E1219" s="6"/>
      <c r="F1219" s="6"/>
      <c r="G1219" s="7"/>
    </row>
    <row r="1220" spans="4:7" x14ac:dyDescent="0.2">
      <c r="D1220" s="6"/>
      <c r="E1220" s="6"/>
      <c r="F1220" s="6"/>
      <c r="G1220" s="7"/>
    </row>
    <row r="1221" spans="4:7" x14ac:dyDescent="0.2">
      <c r="D1221" s="6"/>
      <c r="E1221" s="6"/>
      <c r="F1221" s="6"/>
      <c r="G1221" s="7"/>
    </row>
    <row r="1222" spans="4:7" x14ac:dyDescent="0.2">
      <c r="D1222" s="6"/>
      <c r="E1222" s="6"/>
      <c r="F1222" s="6"/>
      <c r="G1222" s="7"/>
    </row>
    <row r="1223" spans="4:7" x14ac:dyDescent="0.2">
      <c r="D1223" s="6"/>
      <c r="E1223" s="6"/>
      <c r="F1223" s="6"/>
      <c r="G1223" s="7"/>
    </row>
    <row r="1224" spans="4:7" x14ac:dyDescent="0.2">
      <c r="D1224" s="6"/>
      <c r="E1224" s="6"/>
      <c r="F1224" s="6"/>
      <c r="G1224" s="7"/>
    </row>
    <row r="1225" spans="4:7" x14ac:dyDescent="0.2">
      <c r="D1225" s="6"/>
      <c r="E1225" s="6"/>
      <c r="F1225" s="6"/>
      <c r="G1225" s="7"/>
    </row>
    <row r="1226" spans="4:7" x14ac:dyDescent="0.2">
      <c r="D1226" s="6"/>
      <c r="E1226" s="6"/>
      <c r="F1226" s="6"/>
      <c r="G1226" s="7"/>
    </row>
    <row r="1227" spans="4:7" x14ac:dyDescent="0.2">
      <c r="D1227" s="6"/>
      <c r="E1227" s="6"/>
      <c r="F1227" s="6"/>
      <c r="G1227" s="7"/>
    </row>
    <row r="1228" spans="4:7" x14ac:dyDescent="0.2">
      <c r="D1228" s="6"/>
      <c r="E1228" s="6"/>
      <c r="F1228" s="6"/>
      <c r="G1228" s="7"/>
    </row>
    <row r="1229" spans="4:7" x14ac:dyDescent="0.2">
      <c r="D1229" s="6"/>
      <c r="E1229" s="6"/>
      <c r="F1229" s="6"/>
      <c r="G1229" s="7"/>
    </row>
    <row r="1230" spans="4:7" x14ac:dyDescent="0.2">
      <c r="D1230" s="6"/>
      <c r="E1230" s="6"/>
      <c r="F1230" s="6"/>
      <c r="G1230" s="7"/>
    </row>
    <row r="1231" spans="4:7" x14ac:dyDescent="0.2">
      <c r="D1231" s="6"/>
      <c r="E1231" s="6"/>
      <c r="F1231" s="6"/>
      <c r="G1231" s="7"/>
    </row>
    <row r="1232" spans="4:7" x14ac:dyDescent="0.2">
      <c r="D1232" s="6"/>
      <c r="E1232" s="6"/>
      <c r="F1232" s="6"/>
      <c r="G1232" s="7"/>
    </row>
    <row r="1233" spans="4:7" x14ac:dyDescent="0.2">
      <c r="D1233" s="6"/>
      <c r="E1233" s="6"/>
      <c r="F1233" s="6"/>
      <c r="G1233" s="7"/>
    </row>
    <row r="1234" spans="4:7" x14ac:dyDescent="0.2">
      <c r="D1234" s="6"/>
      <c r="E1234" s="6"/>
      <c r="F1234" s="6"/>
      <c r="G1234" s="7"/>
    </row>
    <row r="1235" spans="4:7" x14ac:dyDescent="0.2">
      <c r="D1235" s="6"/>
      <c r="E1235" s="6"/>
      <c r="F1235" s="6"/>
      <c r="G1235" s="7"/>
    </row>
    <row r="1236" spans="4:7" x14ac:dyDescent="0.2">
      <c r="D1236" s="6"/>
      <c r="E1236" s="6"/>
      <c r="F1236" s="6"/>
      <c r="G1236" s="7"/>
    </row>
    <row r="1237" spans="4:7" x14ac:dyDescent="0.2">
      <c r="D1237" s="6"/>
      <c r="E1237" s="6"/>
      <c r="F1237" s="6"/>
      <c r="G1237" s="7"/>
    </row>
    <row r="1238" spans="4:7" x14ac:dyDescent="0.2">
      <c r="D1238" s="6"/>
      <c r="E1238" s="6"/>
      <c r="F1238" s="6"/>
      <c r="G1238" s="7"/>
    </row>
    <row r="1239" spans="4:7" x14ac:dyDescent="0.2">
      <c r="D1239" s="6"/>
      <c r="E1239" s="6"/>
      <c r="F1239" s="6"/>
      <c r="G1239" s="7"/>
    </row>
    <row r="1240" spans="4:7" x14ac:dyDescent="0.2">
      <c r="D1240" s="6"/>
      <c r="E1240" s="6"/>
      <c r="F1240" s="6"/>
      <c r="G1240" s="7"/>
    </row>
    <row r="1241" spans="4:7" x14ac:dyDescent="0.2">
      <c r="D1241" s="6"/>
      <c r="E1241" s="6"/>
      <c r="F1241" s="6"/>
      <c r="G1241" s="7"/>
    </row>
    <row r="1242" spans="4:7" x14ac:dyDescent="0.2">
      <c r="D1242" s="6"/>
      <c r="E1242" s="6"/>
      <c r="F1242" s="6"/>
      <c r="G1242" s="7"/>
    </row>
    <row r="1243" spans="4:7" x14ac:dyDescent="0.2">
      <c r="D1243" s="6"/>
      <c r="E1243" s="6"/>
      <c r="F1243" s="6"/>
      <c r="G1243" s="7"/>
    </row>
    <row r="1244" spans="4:7" x14ac:dyDescent="0.2">
      <c r="D1244" s="6"/>
      <c r="E1244" s="6"/>
      <c r="F1244" s="6"/>
      <c r="G1244" s="7"/>
    </row>
    <row r="1245" spans="4:7" x14ac:dyDescent="0.2">
      <c r="D1245" s="6"/>
      <c r="E1245" s="6"/>
      <c r="F1245" s="6"/>
      <c r="G1245" s="7"/>
    </row>
    <row r="1246" spans="4:7" x14ac:dyDescent="0.2">
      <c r="D1246" s="6"/>
      <c r="E1246" s="6"/>
      <c r="F1246" s="6"/>
      <c r="G1246" s="7"/>
    </row>
    <row r="1247" spans="4:7" x14ac:dyDescent="0.2">
      <c r="D1247" s="6"/>
      <c r="E1247" s="6"/>
      <c r="F1247" s="6"/>
      <c r="G1247" s="7"/>
    </row>
    <row r="1248" spans="4:7" x14ac:dyDescent="0.2">
      <c r="D1248" s="6"/>
      <c r="E1248" s="6"/>
      <c r="F1248" s="6"/>
      <c r="G1248" s="7"/>
    </row>
    <row r="1249" spans="4:7" x14ac:dyDescent="0.2">
      <c r="D1249" s="6"/>
      <c r="E1249" s="6"/>
      <c r="F1249" s="6"/>
      <c r="G1249" s="7"/>
    </row>
    <row r="1250" spans="4:7" x14ac:dyDescent="0.2">
      <c r="D1250" s="6"/>
      <c r="E1250" s="6"/>
      <c r="F1250" s="6"/>
      <c r="G1250" s="7"/>
    </row>
    <row r="1251" spans="4:7" x14ac:dyDescent="0.2">
      <c r="D1251" s="6"/>
      <c r="E1251" s="6"/>
      <c r="F1251" s="6"/>
      <c r="G1251" s="7"/>
    </row>
    <row r="1252" spans="4:7" x14ac:dyDescent="0.2">
      <c r="D1252" s="6"/>
      <c r="E1252" s="6"/>
      <c r="F1252" s="6"/>
      <c r="G1252" s="7"/>
    </row>
    <row r="1253" spans="4:7" x14ac:dyDescent="0.2">
      <c r="D1253" s="6"/>
      <c r="E1253" s="6"/>
      <c r="F1253" s="6"/>
      <c r="G1253" s="7"/>
    </row>
    <row r="1254" spans="4:7" x14ac:dyDescent="0.2">
      <c r="D1254" s="6"/>
      <c r="E1254" s="6"/>
      <c r="F1254" s="6"/>
      <c r="G1254" s="7"/>
    </row>
    <row r="1255" spans="4:7" x14ac:dyDescent="0.2">
      <c r="D1255" s="6"/>
      <c r="E1255" s="6"/>
      <c r="F1255" s="6"/>
      <c r="G1255" s="7"/>
    </row>
    <row r="1256" spans="4:7" x14ac:dyDescent="0.2">
      <c r="D1256" s="6"/>
      <c r="E1256" s="6"/>
      <c r="F1256" s="6"/>
      <c r="G1256" s="7"/>
    </row>
    <row r="1257" spans="4:7" x14ac:dyDescent="0.2">
      <c r="D1257" s="6"/>
      <c r="E1257" s="6"/>
      <c r="F1257" s="6"/>
      <c r="G1257" s="7"/>
    </row>
    <row r="1258" spans="4:7" x14ac:dyDescent="0.2">
      <c r="D1258" s="6"/>
      <c r="E1258" s="6"/>
      <c r="F1258" s="6"/>
      <c r="G1258" s="7"/>
    </row>
    <row r="1259" spans="4:7" x14ac:dyDescent="0.2">
      <c r="D1259" s="6"/>
      <c r="E1259" s="6"/>
      <c r="F1259" s="6"/>
      <c r="G1259" s="7"/>
    </row>
    <row r="1260" spans="4:7" x14ac:dyDescent="0.2">
      <c r="D1260" s="6"/>
      <c r="E1260" s="6"/>
      <c r="F1260" s="6"/>
      <c r="G1260" s="7"/>
    </row>
    <row r="1261" spans="4:7" x14ac:dyDescent="0.2">
      <c r="D1261" s="6"/>
      <c r="E1261" s="6"/>
      <c r="F1261" s="6"/>
      <c r="G1261" s="7"/>
    </row>
    <row r="1262" spans="4:7" x14ac:dyDescent="0.2">
      <c r="D1262" s="6"/>
      <c r="E1262" s="6"/>
      <c r="F1262" s="6"/>
      <c r="G1262" s="7"/>
    </row>
    <row r="1263" spans="4:7" x14ac:dyDescent="0.2">
      <c r="D1263" s="6"/>
      <c r="E1263" s="6"/>
      <c r="F1263" s="6"/>
      <c r="G1263" s="7"/>
    </row>
    <row r="1264" spans="4:7" x14ac:dyDescent="0.2">
      <c r="D1264" s="6"/>
      <c r="E1264" s="6"/>
      <c r="F1264" s="6"/>
      <c r="G1264" s="7"/>
    </row>
    <row r="1265" spans="4:7" x14ac:dyDescent="0.2">
      <c r="D1265" s="6"/>
      <c r="E1265" s="6"/>
      <c r="F1265" s="6"/>
      <c r="G1265" s="7"/>
    </row>
    <row r="1266" spans="4:7" x14ac:dyDescent="0.2">
      <c r="D1266" s="6"/>
      <c r="E1266" s="6"/>
      <c r="F1266" s="6"/>
      <c r="G1266" s="7"/>
    </row>
    <row r="1267" spans="4:7" x14ac:dyDescent="0.2">
      <c r="D1267" s="6"/>
      <c r="E1267" s="6"/>
      <c r="F1267" s="6"/>
      <c r="G1267" s="7"/>
    </row>
    <row r="1268" spans="4:7" x14ac:dyDescent="0.2">
      <c r="D1268" s="6"/>
      <c r="E1268" s="6"/>
      <c r="F1268" s="6"/>
      <c r="G1268" s="7"/>
    </row>
    <row r="1269" spans="4:7" x14ac:dyDescent="0.2">
      <c r="D1269" s="6"/>
      <c r="E1269" s="6"/>
      <c r="F1269" s="6"/>
      <c r="G1269" s="7"/>
    </row>
    <row r="1270" spans="4:7" x14ac:dyDescent="0.2">
      <c r="D1270" s="6"/>
      <c r="E1270" s="6"/>
      <c r="F1270" s="6"/>
      <c r="G1270" s="7"/>
    </row>
    <row r="1271" spans="4:7" x14ac:dyDescent="0.2">
      <c r="D1271" s="6"/>
      <c r="E1271" s="6"/>
      <c r="F1271" s="6"/>
      <c r="G1271" s="7"/>
    </row>
    <row r="1272" spans="4:7" x14ac:dyDescent="0.2">
      <c r="D1272" s="6"/>
      <c r="E1272" s="6"/>
      <c r="F1272" s="6"/>
      <c r="G1272" s="7"/>
    </row>
    <row r="1273" spans="4:7" x14ac:dyDescent="0.2">
      <c r="D1273" s="6"/>
      <c r="E1273" s="6"/>
      <c r="F1273" s="6"/>
      <c r="G1273" s="7"/>
    </row>
    <row r="1274" spans="4:7" x14ac:dyDescent="0.2">
      <c r="D1274" s="6"/>
      <c r="E1274" s="6"/>
      <c r="F1274" s="6"/>
      <c r="G1274" s="7"/>
    </row>
    <row r="1275" spans="4:7" x14ac:dyDescent="0.2">
      <c r="D1275" s="6"/>
      <c r="E1275" s="6"/>
      <c r="F1275" s="6"/>
      <c r="G1275" s="7"/>
    </row>
    <row r="1276" spans="4:7" x14ac:dyDescent="0.2">
      <c r="D1276" s="6"/>
      <c r="E1276" s="6"/>
      <c r="F1276" s="6"/>
      <c r="G1276" s="7"/>
    </row>
    <row r="1277" spans="4:7" x14ac:dyDescent="0.2">
      <c r="D1277" s="6"/>
      <c r="E1277" s="6"/>
      <c r="F1277" s="6"/>
      <c r="G1277" s="7"/>
    </row>
    <row r="1278" spans="4:7" x14ac:dyDescent="0.2">
      <c r="D1278" s="6"/>
      <c r="E1278" s="6"/>
      <c r="F1278" s="6"/>
      <c r="G1278" s="7"/>
    </row>
    <row r="1279" spans="4:7" x14ac:dyDescent="0.2">
      <c r="D1279" s="6"/>
      <c r="E1279" s="6"/>
      <c r="F1279" s="6"/>
      <c r="G1279" s="7"/>
    </row>
    <row r="1280" spans="4:7" x14ac:dyDescent="0.2">
      <c r="D1280" s="6"/>
      <c r="E1280" s="6"/>
      <c r="F1280" s="6"/>
      <c r="G1280" s="7"/>
    </row>
    <row r="1281" spans="4:7" x14ac:dyDescent="0.2">
      <c r="D1281" s="6"/>
      <c r="E1281" s="6"/>
      <c r="F1281" s="6"/>
      <c r="G1281" s="7"/>
    </row>
    <row r="1282" spans="4:7" x14ac:dyDescent="0.2">
      <c r="D1282" s="6"/>
      <c r="E1282" s="6"/>
      <c r="F1282" s="6"/>
      <c r="G1282" s="7"/>
    </row>
    <row r="1283" spans="4:7" x14ac:dyDescent="0.2">
      <c r="D1283" s="6"/>
      <c r="E1283" s="6"/>
      <c r="F1283" s="6"/>
      <c r="G1283" s="7"/>
    </row>
    <row r="1284" spans="4:7" x14ac:dyDescent="0.2">
      <c r="D1284" s="6"/>
      <c r="E1284" s="6"/>
      <c r="F1284" s="6"/>
      <c r="G1284" s="7"/>
    </row>
    <row r="1285" spans="4:7" x14ac:dyDescent="0.2">
      <c r="D1285" s="6"/>
      <c r="E1285" s="6"/>
      <c r="F1285" s="6"/>
      <c r="G1285" s="7"/>
    </row>
    <row r="1286" spans="4:7" x14ac:dyDescent="0.2">
      <c r="D1286" s="6"/>
      <c r="E1286" s="6"/>
      <c r="F1286" s="6"/>
      <c r="G1286" s="7"/>
    </row>
    <row r="1287" spans="4:7" x14ac:dyDescent="0.2">
      <c r="D1287" s="6"/>
      <c r="E1287" s="6"/>
      <c r="F1287" s="6"/>
      <c r="G1287" s="7"/>
    </row>
    <row r="1288" spans="4:7" x14ac:dyDescent="0.2">
      <c r="D1288" s="6"/>
      <c r="E1288" s="6"/>
      <c r="F1288" s="6"/>
      <c r="G1288" s="7"/>
    </row>
    <row r="1289" spans="4:7" x14ac:dyDescent="0.2">
      <c r="D1289" s="6"/>
      <c r="E1289" s="6"/>
      <c r="F1289" s="6"/>
      <c r="G1289" s="7"/>
    </row>
    <row r="1290" spans="4:7" x14ac:dyDescent="0.2">
      <c r="D1290" s="6"/>
      <c r="E1290" s="6"/>
      <c r="F1290" s="6"/>
      <c r="G1290" s="7"/>
    </row>
    <row r="1291" spans="4:7" x14ac:dyDescent="0.2">
      <c r="D1291" s="6"/>
      <c r="E1291" s="6"/>
      <c r="F1291" s="6"/>
      <c r="G1291" s="7"/>
    </row>
    <row r="1292" spans="4:7" x14ac:dyDescent="0.2">
      <c r="D1292" s="6"/>
      <c r="E1292" s="6"/>
      <c r="F1292" s="6"/>
      <c r="G1292" s="7"/>
    </row>
    <row r="1293" spans="4:7" x14ac:dyDescent="0.2">
      <c r="D1293" s="6"/>
      <c r="E1293" s="6"/>
      <c r="F1293" s="6"/>
      <c r="G1293" s="7"/>
    </row>
    <row r="1294" spans="4:7" x14ac:dyDescent="0.2">
      <c r="D1294" s="6"/>
      <c r="E1294" s="6"/>
      <c r="F1294" s="6"/>
      <c r="G1294" s="7"/>
    </row>
    <row r="1295" spans="4:7" x14ac:dyDescent="0.2">
      <c r="D1295" s="6"/>
      <c r="E1295" s="6"/>
      <c r="F1295" s="6"/>
      <c r="G1295" s="7"/>
    </row>
    <row r="1296" spans="4:7" x14ac:dyDescent="0.2">
      <c r="D1296" s="6"/>
      <c r="E1296" s="6"/>
      <c r="F1296" s="6"/>
      <c r="G1296" s="7"/>
    </row>
    <row r="1297" spans="4:7" x14ac:dyDescent="0.2">
      <c r="D1297" s="6"/>
      <c r="E1297" s="6"/>
      <c r="F1297" s="6"/>
      <c r="G1297" s="7"/>
    </row>
    <row r="1298" spans="4:7" x14ac:dyDescent="0.2">
      <c r="D1298" s="6"/>
      <c r="E1298" s="6"/>
      <c r="F1298" s="6"/>
      <c r="G1298" s="7"/>
    </row>
    <row r="1299" spans="4:7" x14ac:dyDescent="0.2">
      <c r="D1299" s="6"/>
      <c r="E1299" s="6"/>
      <c r="F1299" s="6"/>
      <c r="G1299" s="7"/>
    </row>
    <row r="1300" spans="4:7" x14ac:dyDescent="0.2">
      <c r="D1300" s="6"/>
      <c r="E1300" s="6"/>
      <c r="F1300" s="6"/>
      <c r="G1300" s="7"/>
    </row>
    <row r="1301" spans="4:7" x14ac:dyDescent="0.2">
      <c r="D1301" s="6"/>
      <c r="E1301" s="6"/>
      <c r="F1301" s="6"/>
      <c r="G1301" s="7"/>
    </row>
    <row r="1302" spans="4:7" x14ac:dyDescent="0.2">
      <c r="D1302" s="6"/>
      <c r="E1302" s="6"/>
      <c r="F1302" s="6"/>
      <c r="G1302" s="7"/>
    </row>
    <row r="1303" spans="4:7" x14ac:dyDescent="0.2">
      <c r="D1303" s="6"/>
      <c r="E1303" s="6"/>
      <c r="F1303" s="6"/>
      <c r="G1303" s="7"/>
    </row>
    <row r="1304" spans="4:7" x14ac:dyDescent="0.2">
      <c r="D1304" s="6"/>
      <c r="E1304" s="6"/>
      <c r="F1304" s="6"/>
      <c r="G1304" s="7"/>
    </row>
    <row r="1305" spans="4:7" x14ac:dyDescent="0.2">
      <c r="D1305" s="6"/>
      <c r="E1305" s="6"/>
      <c r="F1305" s="6"/>
      <c r="G1305" s="7"/>
    </row>
    <row r="1306" spans="4:7" x14ac:dyDescent="0.2">
      <c r="D1306" s="6"/>
      <c r="E1306" s="6"/>
      <c r="F1306" s="6"/>
      <c r="G1306" s="7"/>
    </row>
    <row r="1307" spans="4:7" x14ac:dyDescent="0.2">
      <c r="D1307" s="6"/>
      <c r="E1307" s="6"/>
      <c r="F1307" s="6"/>
      <c r="G1307" s="7"/>
    </row>
    <row r="1308" spans="4:7" x14ac:dyDescent="0.2">
      <c r="D1308" s="6"/>
      <c r="E1308" s="6"/>
      <c r="F1308" s="6"/>
      <c r="G1308" s="7"/>
    </row>
    <row r="1309" spans="4:7" x14ac:dyDescent="0.2">
      <c r="D1309" s="6"/>
      <c r="E1309" s="6"/>
      <c r="F1309" s="6"/>
      <c r="G1309" s="7"/>
    </row>
    <row r="1310" spans="4:7" x14ac:dyDescent="0.2">
      <c r="D1310" s="6"/>
      <c r="E1310" s="6"/>
      <c r="F1310" s="6"/>
      <c r="G1310" s="7"/>
    </row>
    <row r="1311" spans="4:7" x14ac:dyDescent="0.2">
      <c r="D1311" s="6"/>
      <c r="E1311" s="6"/>
      <c r="F1311" s="6"/>
      <c r="G1311" s="7"/>
    </row>
    <row r="1312" spans="4:7" x14ac:dyDescent="0.2">
      <c r="D1312" s="6"/>
      <c r="E1312" s="6"/>
      <c r="F1312" s="6"/>
      <c r="G1312" s="7"/>
    </row>
    <row r="1313" spans="4:7" x14ac:dyDescent="0.2">
      <c r="D1313" s="6"/>
      <c r="E1313" s="6"/>
      <c r="F1313" s="6"/>
      <c r="G1313" s="7"/>
    </row>
    <row r="1314" spans="4:7" x14ac:dyDescent="0.2">
      <c r="D1314" s="6"/>
      <c r="E1314" s="6"/>
      <c r="F1314" s="6"/>
      <c r="G1314" s="7"/>
    </row>
    <row r="1315" spans="4:7" x14ac:dyDescent="0.2">
      <c r="D1315" s="6"/>
      <c r="E1315" s="6"/>
      <c r="F1315" s="6"/>
      <c r="G1315" s="7"/>
    </row>
    <row r="1316" spans="4:7" x14ac:dyDescent="0.2">
      <c r="D1316" s="6"/>
      <c r="E1316" s="6"/>
      <c r="F1316" s="6"/>
      <c r="G1316" s="7"/>
    </row>
    <row r="1317" spans="4:7" x14ac:dyDescent="0.2">
      <c r="D1317" s="6"/>
      <c r="E1317" s="6"/>
      <c r="F1317" s="6"/>
      <c r="G1317" s="7"/>
    </row>
    <row r="1318" spans="4:7" x14ac:dyDescent="0.2">
      <c r="D1318" s="6"/>
      <c r="E1318" s="6"/>
      <c r="F1318" s="6"/>
      <c r="G1318" s="7"/>
    </row>
    <row r="1319" spans="4:7" x14ac:dyDescent="0.2">
      <c r="D1319" s="6"/>
      <c r="E1319" s="6"/>
      <c r="F1319" s="6"/>
      <c r="G1319" s="7"/>
    </row>
    <row r="1320" spans="4:7" x14ac:dyDescent="0.2">
      <c r="D1320" s="6"/>
      <c r="E1320" s="6"/>
      <c r="F1320" s="6"/>
      <c r="G1320" s="7"/>
    </row>
    <row r="1321" spans="4:7" x14ac:dyDescent="0.2">
      <c r="D1321" s="6"/>
      <c r="E1321" s="6"/>
      <c r="F1321" s="6"/>
      <c r="G1321" s="7"/>
    </row>
    <row r="1322" spans="4:7" x14ac:dyDescent="0.2">
      <c r="D1322" s="6"/>
      <c r="E1322" s="6"/>
      <c r="F1322" s="6"/>
      <c r="G1322" s="7"/>
    </row>
    <row r="1323" spans="4:7" x14ac:dyDescent="0.2">
      <c r="D1323" s="6"/>
      <c r="E1323" s="6"/>
      <c r="F1323" s="6"/>
      <c r="G1323" s="7"/>
    </row>
    <row r="1324" spans="4:7" x14ac:dyDescent="0.2">
      <c r="D1324" s="6"/>
      <c r="E1324" s="6"/>
      <c r="F1324" s="6"/>
      <c r="G1324" s="7"/>
    </row>
    <row r="1325" spans="4:7" x14ac:dyDescent="0.2">
      <c r="D1325" s="6"/>
      <c r="E1325" s="6"/>
      <c r="F1325" s="6"/>
      <c r="G1325" s="7"/>
    </row>
    <row r="1326" spans="4:7" x14ac:dyDescent="0.2">
      <c r="D1326" s="6"/>
      <c r="E1326" s="6"/>
      <c r="F1326" s="6"/>
      <c r="G1326" s="7"/>
    </row>
    <row r="1327" spans="4:7" x14ac:dyDescent="0.2">
      <c r="D1327" s="6"/>
      <c r="E1327" s="6"/>
      <c r="F1327" s="6"/>
      <c r="G1327" s="7"/>
    </row>
    <row r="1328" spans="4:7" x14ac:dyDescent="0.2">
      <c r="D1328" s="6"/>
      <c r="E1328" s="6"/>
      <c r="F1328" s="6"/>
      <c r="G1328" s="7"/>
    </row>
    <row r="1329" spans="4:7" x14ac:dyDescent="0.2">
      <c r="D1329" s="6"/>
      <c r="E1329" s="6"/>
      <c r="F1329" s="6"/>
      <c r="G1329" s="7"/>
    </row>
    <row r="1330" spans="4:7" x14ac:dyDescent="0.2">
      <c r="D1330" s="6"/>
      <c r="E1330" s="6"/>
      <c r="F1330" s="6"/>
      <c r="G1330" s="7"/>
    </row>
    <row r="1331" spans="4:7" x14ac:dyDescent="0.2">
      <c r="D1331" s="6"/>
      <c r="E1331" s="6"/>
      <c r="F1331" s="6"/>
      <c r="G1331" s="7"/>
    </row>
    <row r="1332" spans="4:7" x14ac:dyDescent="0.2">
      <c r="D1332" s="6"/>
      <c r="E1332" s="6"/>
      <c r="F1332" s="6"/>
      <c r="G1332" s="7"/>
    </row>
    <row r="1333" spans="4:7" x14ac:dyDescent="0.2">
      <c r="D1333" s="6"/>
      <c r="E1333" s="6"/>
      <c r="F1333" s="6"/>
      <c r="G1333" s="7"/>
    </row>
    <row r="1334" spans="4:7" x14ac:dyDescent="0.2">
      <c r="D1334" s="6"/>
      <c r="E1334" s="6"/>
      <c r="F1334" s="6"/>
      <c r="G1334" s="7"/>
    </row>
    <row r="1335" spans="4:7" x14ac:dyDescent="0.2">
      <c r="D1335" s="6"/>
      <c r="E1335" s="6"/>
      <c r="F1335" s="6"/>
      <c r="G1335" s="7"/>
    </row>
    <row r="1336" spans="4:7" x14ac:dyDescent="0.2">
      <c r="D1336" s="6"/>
      <c r="E1336" s="6"/>
      <c r="F1336" s="6"/>
      <c r="G1336" s="7"/>
    </row>
    <row r="1337" spans="4:7" x14ac:dyDescent="0.2">
      <c r="D1337" s="6"/>
      <c r="E1337" s="6"/>
      <c r="F1337" s="6"/>
      <c r="G1337" s="7"/>
    </row>
    <row r="1338" spans="4:7" x14ac:dyDescent="0.2">
      <c r="D1338" s="6"/>
      <c r="E1338" s="6"/>
      <c r="F1338" s="6"/>
      <c r="G1338" s="7"/>
    </row>
    <row r="1339" spans="4:7" x14ac:dyDescent="0.2">
      <c r="D1339" s="6"/>
      <c r="E1339" s="6"/>
      <c r="F1339" s="6"/>
      <c r="G1339" s="7"/>
    </row>
    <row r="1340" spans="4:7" x14ac:dyDescent="0.2">
      <c r="D1340" s="6"/>
      <c r="E1340" s="6"/>
      <c r="F1340" s="6"/>
      <c r="G1340" s="7"/>
    </row>
    <row r="1341" spans="4:7" x14ac:dyDescent="0.2">
      <c r="D1341" s="6"/>
      <c r="E1341" s="6"/>
      <c r="F1341" s="6"/>
      <c r="G1341" s="7"/>
    </row>
    <row r="1342" spans="4:7" x14ac:dyDescent="0.2">
      <c r="D1342" s="6"/>
      <c r="E1342" s="6"/>
      <c r="F1342" s="6"/>
      <c r="G1342" s="7"/>
    </row>
    <row r="1343" spans="4:7" x14ac:dyDescent="0.2">
      <c r="D1343" s="6"/>
      <c r="E1343" s="6"/>
      <c r="F1343" s="6"/>
      <c r="G1343" s="7"/>
    </row>
    <row r="1344" spans="4:7" x14ac:dyDescent="0.2">
      <c r="D1344" s="6"/>
      <c r="E1344" s="6"/>
      <c r="F1344" s="6"/>
      <c r="G1344" s="7"/>
    </row>
    <row r="1345" spans="4:7" x14ac:dyDescent="0.2">
      <c r="D1345" s="6"/>
      <c r="E1345" s="6"/>
      <c r="F1345" s="6"/>
      <c r="G1345" s="7"/>
    </row>
    <row r="1346" spans="4:7" x14ac:dyDescent="0.2">
      <c r="D1346" s="6"/>
      <c r="E1346" s="6"/>
      <c r="F1346" s="6"/>
      <c r="G1346" s="7"/>
    </row>
    <row r="1347" spans="4:7" x14ac:dyDescent="0.2">
      <c r="D1347" s="6"/>
      <c r="E1347" s="6"/>
      <c r="F1347" s="6"/>
      <c r="G1347" s="7"/>
    </row>
    <row r="1348" spans="4:7" x14ac:dyDescent="0.2">
      <c r="D1348" s="6"/>
      <c r="E1348" s="6"/>
      <c r="F1348" s="6"/>
      <c r="G1348" s="7"/>
    </row>
    <row r="1349" spans="4:7" x14ac:dyDescent="0.2">
      <c r="D1349" s="6"/>
      <c r="E1349" s="6"/>
      <c r="F1349" s="6"/>
      <c r="G1349" s="7"/>
    </row>
    <row r="1350" spans="4:7" x14ac:dyDescent="0.2">
      <c r="D1350" s="6"/>
      <c r="E1350" s="6"/>
      <c r="F1350" s="6"/>
      <c r="G1350" s="7"/>
    </row>
    <row r="1351" spans="4:7" x14ac:dyDescent="0.2">
      <c r="D1351" s="6"/>
      <c r="E1351" s="6"/>
      <c r="F1351" s="6"/>
      <c r="G1351" s="7"/>
    </row>
    <row r="1352" spans="4:7" x14ac:dyDescent="0.2">
      <c r="D1352" s="6"/>
      <c r="E1352" s="6"/>
      <c r="F1352" s="6"/>
      <c r="G1352" s="7"/>
    </row>
    <row r="1353" spans="4:7" x14ac:dyDescent="0.2">
      <c r="D1353" s="6"/>
      <c r="E1353" s="6"/>
      <c r="F1353" s="6"/>
      <c r="G1353" s="7"/>
    </row>
    <row r="1354" spans="4:7" x14ac:dyDescent="0.2">
      <c r="D1354" s="6"/>
      <c r="E1354" s="6"/>
      <c r="F1354" s="6"/>
      <c r="G1354" s="7"/>
    </row>
    <row r="1355" spans="4:7" x14ac:dyDescent="0.2">
      <c r="D1355" s="6"/>
      <c r="E1355" s="6"/>
      <c r="F1355" s="6"/>
      <c r="G1355" s="7"/>
    </row>
    <row r="1356" spans="4:7" x14ac:dyDescent="0.2">
      <c r="D1356" s="6"/>
      <c r="E1356" s="6"/>
      <c r="F1356" s="6"/>
      <c r="G1356" s="7"/>
    </row>
    <row r="1357" spans="4:7" x14ac:dyDescent="0.2">
      <c r="D1357" s="6"/>
      <c r="E1357" s="6"/>
      <c r="F1357" s="6"/>
      <c r="G1357" s="7"/>
    </row>
    <row r="1358" spans="4:7" x14ac:dyDescent="0.2">
      <c r="D1358" s="6"/>
      <c r="E1358" s="6"/>
      <c r="F1358" s="6"/>
      <c r="G1358" s="7"/>
    </row>
    <row r="1359" spans="4:7" x14ac:dyDescent="0.2">
      <c r="D1359" s="6"/>
      <c r="E1359" s="6"/>
      <c r="F1359" s="6"/>
      <c r="G1359" s="7"/>
    </row>
    <row r="1360" spans="4:7" x14ac:dyDescent="0.2">
      <c r="D1360" s="6"/>
      <c r="E1360" s="6"/>
      <c r="F1360" s="6"/>
      <c r="G1360" s="7"/>
    </row>
    <row r="1361" spans="4:7" x14ac:dyDescent="0.2">
      <c r="D1361" s="6"/>
      <c r="E1361" s="6"/>
      <c r="F1361" s="6"/>
      <c r="G1361" s="7"/>
    </row>
    <row r="1362" spans="4:7" x14ac:dyDescent="0.2">
      <c r="D1362" s="6"/>
      <c r="E1362" s="6"/>
      <c r="F1362" s="6"/>
      <c r="G1362" s="7"/>
    </row>
    <row r="1363" spans="4:7" x14ac:dyDescent="0.2">
      <c r="D1363" s="6"/>
      <c r="E1363" s="6"/>
      <c r="F1363" s="6"/>
      <c r="G1363" s="7"/>
    </row>
    <row r="1364" spans="4:7" x14ac:dyDescent="0.2">
      <c r="D1364" s="6"/>
      <c r="E1364" s="6"/>
      <c r="F1364" s="6"/>
      <c r="G1364" s="7"/>
    </row>
    <row r="1365" spans="4:7" x14ac:dyDescent="0.2">
      <c r="D1365" s="6"/>
      <c r="E1365" s="6"/>
      <c r="F1365" s="6"/>
      <c r="G1365" s="7"/>
    </row>
    <row r="1366" spans="4:7" x14ac:dyDescent="0.2">
      <c r="D1366" s="6"/>
      <c r="E1366" s="6"/>
      <c r="F1366" s="6"/>
      <c r="G1366" s="7"/>
    </row>
    <row r="1367" spans="4:7" x14ac:dyDescent="0.2">
      <c r="D1367" s="6"/>
      <c r="E1367" s="6"/>
      <c r="F1367" s="6"/>
      <c r="G1367" s="7"/>
    </row>
    <row r="1368" spans="4:7" x14ac:dyDescent="0.2">
      <c r="D1368" s="6"/>
      <c r="E1368" s="6"/>
      <c r="F1368" s="6"/>
      <c r="G1368" s="7"/>
    </row>
    <row r="1369" spans="4:7" x14ac:dyDescent="0.2">
      <c r="D1369" s="6"/>
      <c r="E1369" s="6"/>
      <c r="F1369" s="6"/>
      <c r="G1369" s="7"/>
    </row>
    <row r="1370" spans="4:7" x14ac:dyDescent="0.2">
      <c r="D1370" s="6"/>
      <c r="E1370" s="6"/>
      <c r="F1370" s="6"/>
      <c r="G1370" s="7"/>
    </row>
    <row r="1371" spans="4:7" x14ac:dyDescent="0.2">
      <c r="D1371" s="6"/>
      <c r="E1371" s="6"/>
      <c r="F1371" s="6"/>
      <c r="G1371" s="7"/>
    </row>
    <row r="1372" spans="4:7" x14ac:dyDescent="0.2">
      <c r="D1372" s="6"/>
      <c r="E1372" s="6"/>
      <c r="F1372" s="6"/>
      <c r="G1372" s="7"/>
    </row>
    <row r="1373" spans="4:7" x14ac:dyDescent="0.2">
      <c r="D1373" s="6"/>
      <c r="E1373" s="6"/>
      <c r="F1373" s="6"/>
      <c r="G1373" s="7"/>
    </row>
    <row r="1374" spans="4:7" x14ac:dyDescent="0.2">
      <c r="D1374" s="6"/>
      <c r="E1374" s="6"/>
      <c r="F1374" s="6"/>
      <c r="G1374" s="7"/>
    </row>
    <row r="1375" spans="4:7" x14ac:dyDescent="0.2">
      <c r="D1375" s="6"/>
      <c r="E1375" s="6"/>
      <c r="F1375" s="6"/>
      <c r="G1375" s="7"/>
    </row>
    <row r="1376" spans="4:7" x14ac:dyDescent="0.2">
      <c r="D1376" s="6"/>
      <c r="E1376" s="6"/>
      <c r="F1376" s="6"/>
      <c r="G1376" s="7"/>
    </row>
    <row r="1377" spans="4:7" x14ac:dyDescent="0.2">
      <c r="D1377" s="6"/>
      <c r="E1377" s="6"/>
      <c r="F1377" s="6"/>
      <c r="G1377" s="7"/>
    </row>
    <row r="1378" spans="4:7" x14ac:dyDescent="0.2">
      <c r="D1378" s="6"/>
      <c r="E1378" s="6"/>
      <c r="F1378" s="6"/>
      <c r="G1378" s="7"/>
    </row>
    <row r="1379" spans="4:7" x14ac:dyDescent="0.2">
      <c r="D1379" s="6"/>
      <c r="E1379" s="6"/>
      <c r="F1379" s="6"/>
      <c r="G1379" s="7"/>
    </row>
    <row r="1380" spans="4:7" x14ac:dyDescent="0.2">
      <c r="D1380" s="6"/>
      <c r="E1380" s="6"/>
      <c r="F1380" s="6"/>
      <c r="G1380" s="7"/>
    </row>
    <row r="1381" spans="4:7" x14ac:dyDescent="0.2">
      <c r="D1381" s="6"/>
      <c r="E1381" s="6"/>
      <c r="F1381" s="6"/>
      <c r="G1381" s="7"/>
    </row>
    <row r="1382" spans="4:7" x14ac:dyDescent="0.2">
      <c r="D1382" s="6"/>
      <c r="E1382" s="6"/>
      <c r="F1382" s="6"/>
      <c r="G1382" s="7"/>
    </row>
    <row r="1383" spans="4:7" x14ac:dyDescent="0.2">
      <c r="D1383" s="6"/>
      <c r="E1383" s="6"/>
      <c r="F1383" s="6"/>
      <c r="G1383" s="7"/>
    </row>
    <row r="1384" spans="4:7" x14ac:dyDescent="0.2">
      <c r="D1384" s="6"/>
      <c r="E1384" s="6"/>
      <c r="F1384" s="6"/>
      <c r="G1384" s="7"/>
    </row>
    <row r="1385" spans="4:7" x14ac:dyDescent="0.2">
      <c r="D1385" s="6"/>
      <c r="E1385" s="6"/>
      <c r="F1385" s="6"/>
      <c r="G1385" s="7"/>
    </row>
    <row r="1386" spans="4:7" x14ac:dyDescent="0.2">
      <c r="D1386" s="6"/>
      <c r="E1386" s="6"/>
      <c r="F1386" s="6"/>
      <c r="G1386" s="7"/>
    </row>
    <row r="1387" spans="4:7" x14ac:dyDescent="0.2">
      <c r="D1387" s="6"/>
      <c r="E1387" s="6"/>
      <c r="F1387" s="6"/>
      <c r="G1387" s="7"/>
    </row>
    <row r="1388" spans="4:7" x14ac:dyDescent="0.2">
      <c r="D1388" s="6"/>
      <c r="E1388" s="6"/>
      <c r="F1388" s="6"/>
      <c r="G1388" s="7"/>
    </row>
    <row r="1389" spans="4:7" x14ac:dyDescent="0.2">
      <c r="D1389" s="6"/>
      <c r="E1389" s="6"/>
      <c r="F1389" s="6"/>
      <c r="G1389" s="7"/>
    </row>
    <row r="1390" spans="4:7" x14ac:dyDescent="0.2">
      <c r="D1390" s="6"/>
      <c r="E1390" s="6"/>
      <c r="F1390" s="6"/>
      <c r="G1390" s="7"/>
    </row>
    <row r="1391" spans="4:7" x14ac:dyDescent="0.2">
      <c r="D1391" s="6"/>
      <c r="E1391" s="6"/>
      <c r="F1391" s="6"/>
      <c r="G1391" s="7"/>
    </row>
    <row r="1392" spans="4:7" x14ac:dyDescent="0.2">
      <c r="D1392" s="6"/>
      <c r="E1392" s="6"/>
      <c r="F1392" s="6"/>
      <c r="G1392" s="7"/>
    </row>
    <row r="1393" spans="4:7" x14ac:dyDescent="0.2">
      <c r="D1393" s="6"/>
      <c r="E1393" s="6"/>
      <c r="F1393" s="6"/>
      <c r="G1393" s="7"/>
    </row>
    <row r="1394" spans="4:7" x14ac:dyDescent="0.2">
      <c r="D1394" s="6"/>
      <c r="E1394" s="6"/>
      <c r="F1394" s="6"/>
      <c r="G1394" s="7"/>
    </row>
    <row r="1395" spans="4:7" x14ac:dyDescent="0.2">
      <c r="D1395" s="6"/>
      <c r="E1395" s="6"/>
      <c r="F1395" s="6"/>
      <c r="G1395" s="7"/>
    </row>
    <row r="1396" spans="4:7" x14ac:dyDescent="0.2">
      <c r="D1396" s="6"/>
      <c r="E1396" s="6"/>
      <c r="F1396" s="6"/>
      <c r="G1396" s="7"/>
    </row>
    <row r="1397" spans="4:7" x14ac:dyDescent="0.2">
      <c r="D1397" s="6"/>
      <c r="E1397" s="6"/>
      <c r="F1397" s="6"/>
      <c r="G1397" s="7"/>
    </row>
    <row r="1398" spans="4:7" x14ac:dyDescent="0.2">
      <c r="D1398" s="6"/>
      <c r="E1398" s="6"/>
      <c r="F1398" s="6"/>
      <c r="G1398" s="7"/>
    </row>
    <row r="1399" spans="4:7" x14ac:dyDescent="0.2">
      <c r="D1399" s="6"/>
      <c r="E1399" s="6"/>
      <c r="F1399" s="6"/>
      <c r="G1399" s="7"/>
    </row>
    <row r="1400" spans="4:7" x14ac:dyDescent="0.2">
      <c r="D1400" s="6"/>
      <c r="E1400" s="6"/>
      <c r="F1400" s="6"/>
      <c r="G1400" s="7"/>
    </row>
    <row r="1401" spans="4:7" x14ac:dyDescent="0.2">
      <c r="D1401" s="6"/>
      <c r="E1401" s="6"/>
      <c r="F1401" s="6"/>
      <c r="G1401" s="7"/>
    </row>
    <row r="1402" spans="4:7" x14ac:dyDescent="0.2">
      <c r="D1402" s="6"/>
      <c r="E1402" s="6"/>
      <c r="F1402" s="6"/>
      <c r="G1402" s="7"/>
    </row>
    <row r="1403" spans="4:7" x14ac:dyDescent="0.2">
      <c r="D1403" s="6"/>
      <c r="E1403" s="6"/>
      <c r="F1403" s="6"/>
      <c r="G1403" s="7"/>
    </row>
    <row r="1404" spans="4:7" x14ac:dyDescent="0.2">
      <c r="D1404" s="6"/>
      <c r="E1404" s="6"/>
      <c r="F1404" s="6"/>
      <c r="G1404" s="7"/>
    </row>
    <row r="1405" spans="4:7" x14ac:dyDescent="0.2">
      <c r="D1405" s="6"/>
      <c r="E1405" s="6"/>
      <c r="F1405" s="6"/>
      <c r="G1405" s="7"/>
    </row>
    <row r="1406" spans="4:7" x14ac:dyDescent="0.2">
      <c r="D1406" s="6"/>
      <c r="E1406" s="6"/>
      <c r="F1406" s="6"/>
      <c r="G1406" s="7"/>
    </row>
    <row r="1407" spans="4:7" x14ac:dyDescent="0.2">
      <c r="D1407" s="6"/>
      <c r="E1407" s="6"/>
      <c r="F1407" s="6"/>
      <c r="G1407" s="7"/>
    </row>
    <row r="1408" spans="4:7" x14ac:dyDescent="0.2">
      <c r="D1408" s="6"/>
      <c r="E1408" s="6"/>
      <c r="F1408" s="6"/>
      <c r="G1408" s="7"/>
    </row>
    <row r="1409" spans="4:7" x14ac:dyDescent="0.2">
      <c r="D1409" s="6"/>
      <c r="E1409" s="6"/>
      <c r="F1409" s="6"/>
      <c r="G1409" s="7"/>
    </row>
    <row r="1410" spans="4:7" x14ac:dyDescent="0.2">
      <c r="D1410" s="6"/>
      <c r="E1410" s="6"/>
      <c r="F1410" s="6"/>
      <c r="G1410" s="7"/>
    </row>
    <row r="1411" spans="4:7" x14ac:dyDescent="0.2">
      <c r="D1411" s="6"/>
      <c r="E1411" s="6"/>
      <c r="F1411" s="6"/>
      <c r="G1411" s="7"/>
    </row>
    <row r="1412" spans="4:7" x14ac:dyDescent="0.2">
      <c r="D1412" s="6"/>
      <c r="E1412" s="6"/>
      <c r="F1412" s="6"/>
      <c r="G1412" s="7"/>
    </row>
    <row r="1413" spans="4:7" x14ac:dyDescent="0.2">
      <c r="D1413" s="6"/>
      <c r="E1413" s="6"/>
      <c r="F1413" s="6"/>
      <c r="G1413" s="7"/>
    </row>
    <row r="1414" spans="4:7" x14ac:dyDescent="0.2">
      <c r="D1414" s="6"/>
      <c r="E1414" s="6"/>
      <c r="F1414" s="6"/>
      <c r="G1414" s="7"/>
    </row>
    <row r="1415" spans="4:7" x14ac:dyDescent="0.2">
      <c r="D1415" s="6"/>
      <c r="E1415" s="6"/>
      <c r="F1415" s="6"/>
      <c r="G1415" s="7"/>
    </row>
    <row r="1416" spans="4:7" x14ac:dyDescent="0.2">
      <c r="D1416" s="6"/>
      <c r="E1416" s="6"/>
      <c r="F1416" s="6"/>
      <c r="G1416" s="7"/>
    </row>
    <row r="1417" spans="4:7" x14ac:dyDescent="0.2">
      <c r="D1417" s="6"/>
      <c r="E1417" s="6"/>
      <c r="F1417" s="6"/>
      <c r="G1417" s="7"/>
    </row>
    <row r="1418" spans="4:7" x14ac:dyDescent="0.2">
      <c r="D1418" s="6"/>
      <c r="E1418" s="6"/>
      <c r="F1418" s="6"/>
      <c r="G1418" s="7"/>
    </row>
    <row r="1419" spans="4:7" x14ac:dyDescent="0.2">
      <c r="D1419" s="6"/>
      <c r="E1419" s="6"/>
      <c r="F1419" s="6"/>
      <c r="G1419" s="7"/>
    </row>
    <row r="1420" spans="4:7" x14ac:dyDescent="0.2">
      <c r="D1420" s="6"/>
      <c r="E1420" s="6"/>
      <c r="F1420" s="6"/>
      <c r="G1420" s="7"/>
    </row>
    <row r="1421" spans="4:7" x14ac:dyDescent="0.2">
      <c r="D1421" s="6"/>
      <c r="E1421" s="6"/>
      <c r="F1421" s="6"/>
      <c r="G1421" s="7"/>
    </row>
    <row r="1422" spans="4:7" x14ac:dyDescent="0.2">
      <c r="D1422" s="6"/>
      <c r="E1422" s="6"/>
      <c r="F1422" s="6"/>
      <c r="G1422" s="7"/>
    </row>
    <row r="1423" spans="4:7" x14ac:dyDescent="0.2">
      <c r="D1423" s="6"/>
      <c r="E1423" s="6"/>
      <c r="F1423" s="6"/>
      <c r="G1423" s="7"/>
    </row>
    <row r="1424" spans="4:7" x14ac:dyDescent="0.2">
      <c r="D1424" s="6"/>
      <c r="E1424" s="6"/>
      <c r="F1424" s="6"/>
      <c r="G1424" s="7"/>
    </row>
    <row r="1425" spans="4:7" x14ac:dyDescent="0.2">
      <c r="D1425" s="6"/>
      <c r="E1425" s="6"/>
      <c r="F1425" s="6"/>
      <c r="G1425" s="7"/>
    </row>
    <row r="1426" spans="4:7" x14ac:dyDescent="0.2">
      <c r="D1426" s="6"/>
      <c r="E1426" s="6"/>
      <c r="F1426" s="6"/>
      <c r="G1426" s="7"/>
    </row>
    <row r="1427" spans="4:7" x14ac:dyDescent="0.2">
      <c r="D1427" s="6"/>
      <c r="E1427" s="6"/>
      <c r="F1427" s="6"/>
      <c r="G1427" s="7"/>
    </row>
    <row r="1428" spans="4:7" x14ac:dyDescent="0.2">
      <c r="D1428" s="6"/>
      <c r="E1428" s="6"/>
      <c r="F1428" s="6"/>
      <c r="G1428" s="7"/>
    </row>
    <row r="1429" spans="4:7" x14ac:dyDescent="0.2">
      <c r="D1429" s="6"/>
      <c r="E1429" s="6"/>
      <c r="F1429" s="6"/>
      <c r="G1429" s="7"/>
    </row>
    <row r="1430" spans="4:7" x14ac:dyDescent="0.2">
      <c r="D1430" s="6"/>
      <c r="E1430" s="6"/>
      <c r="F1430" s="6"/>
      <c r="G1430" s="7"/>
    </row>
    <row r="1431" spans="4:7" x14ac:dyDescent="0.2">
      <c r="D1431" s="6"/>
      <c r="E1431" s="6"/>
      <c r="F1431" s="6"/>
      <c r="G1431" s="7"/>
    </row>
    <row r="1432" spans="4:7" x14ac:dyDescent="0.2">
      <c r="D1432" s="6"/>
      <c r="E1432" s="6"/>
      <c r="F1432" s="6"/>
      <c r="G1432" s="7"/>
    </row>
    <row r="1433" spans="4:7" x14ac:dyDescent="0.2">
      <c r="D1433" s="6"/>
      <c r="E1433" s="6"/>
      <c r="F1433" s="6"/>
      <c r="G1433" s="7"/>
    </row>
    <row r="1434" spans="4:7" x14ac:dyDescent="0.2">
      <c r="D1434" s="6"/>
      <c r="E1434" s="6"/>
      <c r="F1434" s="6"/>
      <c r="G1434" s="7"/>
    </row>
    <row r="1435" spans="4:7" x14ac:dyDescent="0.2">
      <c r="D1435" s="6"/>
      <c r="E1435" s="6"/>
      <c r="F1435" s="6"/>
      <c r="G1435" s="7"/>
    </row>
    <row r="1436" spans="4:7" x14ac:dyDescent="0.2">
      <c r="D1436" s="6"/>
      <c r="E1436" s="6"/>
      <c r="F1436" s="6"/>
      <c r="G1436" s="7"/>
    </row>
    <row r="1437" spans="4:7" x14ac:dyDescent="0.2">
      <c r="D1437" s="6"/>
      <c r="E1437" s="6"/>
      <c r="F1437" s="6"/>
      <c r="G1437" s="7"/>
    </row>
    <row r="1438" spans="4:7" x14ac:dyDescent="0.2">
      <c r="D1438" s="6"/>
      <c r="E1438" s="6"/>
      <c r="F1438" s="6"/>
      <c r="G1438" s="7"/>
    </row>
    <row r="1439" spans="4:7" x14ac:dyDescent="0.2">
      <c r="D1439" s="6"/>
      <c r="E1439" s="6"/>
      <c r="F1439" s="6"/>
      <c r="G1439" s="7"/>
    </row>
    <row r="1440" spans="4:7" x14ac:dyDescent="0.2">
      <c r="D1440" s="6"/>
      <c r="E1440" s="6"/>
      <c r="F1440" s="6"/>
      <c r="G1440" s="7"/>
    </row>
    <row r="1441" spans="4:7" x14ac:dyDescent="0.2">
      <c r="D1441" s="6"/>
      <c r="E1441" s="6"/>
      <c r="F1441" s="6"/>
      <c r="G1441" s="7"/>
    </row>
    <row r="1442" spans="4:7" x14ac:dyDescent="0.2">
      <c r="D1442" s="6"/>
      <c r="E1442" s="6"/>
      <c r="F1442" s="6"/>
      <c r="G1442" s="7"/>
    </row>
    <row r="1443" spans="4:7" x14ac:dyDescent="0.2">
      <c r="D1443" s="6"/>
      <c r="E1443" s="6"/>
      <c r="F1443" s="6"/>
      <c r="G1443" s="7"/>
    </row>
    <row r="1444" spans="4:7" x14ac:dyDescent="0.2">
      <c r="D1444" s="6"/>
      <c r="E1444" s="6"/>
      <c r="F1444" s="6"/>
      <c r="G1444" s="7"/>
    </row>
    <row r="1445" spans="4:7" x14ac:dyDescent="0.2">
      <c r="D1445" s="6"/>
      <c r="E1445" s="6"/>
      <c r="F1445" s="6"/>
      <c r="G1445" s="7"/>
    </row>
    <row r="1446" spans="4:7" x14ac:dyDescent="0.2">
      <c r="D1446" s="6"/>
      <c r="E1446" s="6"/>
      <c r="F1446" s="6"/>
      <c r="G1446" s="7"/>
    </row>
    <row r="1447" spans="4:7" x14ac:dyDescent="0.2">
      <c r="D1447" s="6"/>
      <c r="E1447" s="6"/>
      <c r="F1447" s="6"/>
      <c r="G1447" s="7"/>
    </row>
    <row r="1448" spans="4:7" x14ac:dyDescent="0.2">
      <c r="D1448" s="6"/>
      <c r="E1448" s="6"/>
      <c r="F1448" s="6"/>
      <c r="G1448" s="7"/>
    </row>
    <row r="1449" spans="4:7" x14ac:dyDescent="0.2">
      <c r="D1449" s="6"/>
      <c r="E1449" s="6"/>
      <c r="F1449" s="6"/>
      <c r="G1449" s="7"/>
    </row>
    <row r="1450" spans="4:7" x14ac:dyDescent="0.2">
      <c r="D1450" s="6"/>
      <c r="E1450" s="6"/>
      <c r="F1450" s="6"/>
      <c r="G1450" s="7"/>
    </row>
    <row r="1451" spans="4:7" x14ac:dyDescent="0.2">
      <c r="D1451" s="6"/>
      <c r="E1451" s="6"/>
      <c r="F1451" s="6"/>
      <c r="G1451" s="7"/>
    </row>
    <row r="1452" spans="4:7" x14ac:dyDescent="0.2">
      <c r="D1452" s="6"/>
      <c r="E1452" s="6"/>
      <c r="F1452" s="6"/>
      <c r="G1452" s="7"/>
    </row>
    <row r="1453" spans="4:7" x14ac:dyDescent="0.2">
      <c r="D1453" s="6"/>
      <c r="E1453" s="6"/>
      <c r="F1453" s="6"/>
      <c r="G1453" s="7"/>
    </row>
    <row r="1454" spans="4:7" x14ac:dyDescent="0.2">
      <c r="D1454" s="6"/>
      <c r="E1454" s="6"/>
      <c r="F1454" s="6"/>
      <c r="G1454" s="7"/>
    </row>
    <row r="1455" spans="4:7" x14ac:dyDescent="0.2">
      <c r="D1455" s="6"/>
      <c r="E1455" s="6"/>
      <c r="F1455" s="6"/>
      <c r="G1455" s="7"/>
    </row>
    <row r="1456" spans="4:7" x14ac:dyDescent="0.2">
      <c r="D1456" s="6"/>
      <c r="E1456" s="6"/>
      <c r="F1456" s="6"/>
      <c r="G1456" s="7"/>
    </row>
    <row r="1457" spans="4:7" x14ac:dyDescent="0.2">
      <c r="D1457" s="6"/>
      <c r="E1457" s="6"/>
      <c r="F1457" s="6"/>
      <c r="G1457" s="7"/>
    </row>
    <row r="1458" spans="4:7" x14ac:dyDescent="0.2">
      <c r="D1458" s="6"/>
      <c r="E1458" s="6"/>
      <c r="F1458" s="6"/>
      <c r="G1458" s="7"/>
    </row>
    <row r="1459" spans="4:7" x14ac:dyDescent="0.2">
      <c r="D1459" s="6"/>
      <c r="E1459" s="6"/>
      <c r="F1459" s="6"/>
      <c r="G1459" s="7"/>
    </row>
    <row r="1460" spans="4:7" x14ac:dyDescent="0.2">
      <c r="D1460" s="6"/>
      <c r="E1460" s="6"/>
      <c r="F1460" s="6"/>
      <c r="G1460" s="7"/>
    </row>
    <row r="1461" spans="4:7" x14ac:dyDescent="0.2">
      <c r="D1461" s="6"/>
      <c r="E1461" s="6"/>
      <c r="F1461" s="6"/>
      <c r="G1461" s="7"/>
    </row>
    <row r="1462" spans="4:7" x14ac:dyDescent="0.2">
      <c r="D1462" s="6"/>
      <c r="E1462" s="6"/>
      <c r="F1462" s="6"/>
      <c r="G1462" s="7"/>
    </row>
    <row r="1463" spans="4:7" x14ac:dyDescent="0.2">
      <c r="D1463" s="6"/>
      <c r="E1463" s="6"/>
      <c r="F1463" s="6"/>
      <c r="G1463" s="7"/>
    </row>
    <row r="1464" spans="4:7" x14ac:dyDescent="0.2">
      <c r="D1464" s="6"/>
      <c r="E1464" s="6"/>
      <c r="F1464" s="6"/>
      <c r="G1464" s="7"/>
    </row>
    <row r="1465" spans="4:7" x14ac:dyDescent="0.2">
      <c r="D1465" s="6"/>
      <c r="E1465" s="6"/>
      <c r="F1465" s="6"/>
      <c r="G1465" s="7"/>
    </row>
    <row r="1466" spans="4:7" x14ac:dyDescent="0.2">
      <c r="D1466" s="6"/>
      <c r="E1466" s="6"/>
      <c r="F1466" s="6"/>
      <c r="G1466" s="7"/>
    </row>
    <row r="1467" spans="4:7" x14ac:dyDescent="0.2">
      <c r="D1467" s="6"/>
      <c r="E1467" s="6"/>
      <c r="F1467" s="6"/>
      <c r="G1467" s="7"/>
    </row>
    <row r="1468" spans="4:7" x14ac:dyDescent="0.2">
      <c r="D1468" s="6"/>
      <c r="E1468" s="6"/>
      <c r="F1468" s="6"/>
      <c r="G1468" s="7"/>
    </row>
    <row r="1469" spans="4:7" x14ac:dyDescent="0.2">
      <c r="D1469" s="6"/>
      <c r="E1469" s="6"/>
      <c r="F1469" s="6"/>
      <c r="G1469" s="7"/>
    </row>
    <row r="1470" spans="4:7" x14ac:dyDescent="0.2">
      <c r="D1470" s="6"/>
      <c r="E1470" s="6"/>
      <c r="F1470" s="6"/>
      <c r="G1470" s="7"/>
    </row>
    <row r="1471" spans="4:7" x14ac:dyDescent="0.2">
      <c r="D1471" s="6"/>
      <c r="E1471" s="6"/>
      <c r="F1471" s="6"/>
      <c r="G1471" s="7"/>
    </row>
    <row r="1472" spans="4:7" x14ac:dyDescent="0.2">
      <c r="D1472" s="6"/>
      <c r="E1472" s="6"/>
      <c r="F1472" s="6"/>
      <c r="G1472" s="7"/>
    </row>
    <row r="1473" spans="4:7" x14ac:dyDescent="0.2">
      <c r="D1473" s="6"/>
      <c r="E1473" s="6"/>
      <c r="F1473" s="6"/>
      <c r="G1473" s="7"/>
    </row>
    <row r="1474" spans="4:7" x14ac:dyDescent="0.2">
      <c r="D1474" s="6"/>
      <c r="E1474" s="6"/>
      <c r="F1474" s="6"/>
      <c r="G1474" s="7"/>
    </row>
    <row r="1475" spans="4:7" x14ac:dyDescent="0.2">
      <c r="D1475" s="6"/>
      <c r="E1475" s="6"/>
      <c r="F1475" s="6"/>
      <c r="G1475" s="7"/>
    </row>
    <row r="1476" spans="4:7" x14ac:dyDescent="0.2">
      <c r="D1476" s="6"/>
      <c r="E1476" s="6"/>
      <c r="F1476" s="6"/>
      <c r="G1476" s="7"/>
    </row>
    <row r="1477" spans="4:7" x14ac:dyDescent="0.2">
      <c r="D1477" s="6"/>
      <c r="E1477" s="6"/>
      <c r="F1477" s="6"/>
      <c r="G1477" s="7"/>
    </row>
    <row r="1478" spans="4:7" x14ac:dyDescent="0.2">
      <c r="D1478" s="6"/>
      <c r="E1478" s="6"/>
      <c r="F1478" s="6"/>
      <c r="G1478" s="7"/>
    </row>
    <row r="1479" spans="4:7" x14ac:dyDescent="0.2">
      <c r="D1479" s="6"/>
      <c r="E1479" s="6"/>
      <c r="F1479" s="6"/>
      <c r="G1479" s="7"/>
    </row>
    <row r="1480" spans="4:7" x14ac:dyDescent="0.2">
      <c r="D1480" s="6"/>
      <c r="E1480" s="6"/>
      <c r="F1480" s="6"/>
      <c r="G1480" s="7"/>
    </row>
    <row r="1481" spans="4:7" x14ac:dyDescent="0.2">
      <c r="D1481" s="6"/>
      <c r="E1481" s="6"/>
      <c r="F1481" s="6"/>
      <c r="G1481" s="7"/>
    </row>
    <row r="1482" spans="4:7" x14ac:dyDescent="0.2">
      <c r="D1482" s="6"/>
      <c r="E1482" s="6"/>
      <c r="F1482" s="6"/>
      <c r="G1482" s="7"/>
    </row>
    <row r="1483" spans="4:7" x14ac:dyDescent="0.2">
      <c r="D1483" s="6"/>
      <c r="E1483" s="6"/>
      <c r="F1483" s="6"/>
      <c r="G1483" s="7"/>
    </row>
    <row r="1484" spans="4:7" x14ac:dyDescent="0.2">
      <c r="D1484" s="6"/>
      <c r="E1484" s="6"/>
      <c r="F1484" s="6"/>
      <c r="G1484" s="7"/>
    </row>
    <row r="1485" spans="4:7" x14ac:dyDescent="0.2">
      <c r="D1485" s="6"/>
      <c r="E1485" s="6"/>
      <c r="F1485" s="6"/>
      <c r="G1485" s="7"/>
    </row>
    <row r="1486" spans="4:7" x14ac:dyDescent="0.2">
      <c r="D1486" s="6"/>
      <c r="E1486" s="6"/>
      <c r="F1486" s="6"/>
      <c r="G1486" s="7"/>
    </row>
    <row r="1487" spans="4:7" x14ac:dyDescent="0.2">
      <c r="D1487" s="6"/>
      <c r="E1487" s="6"/>
      <c r="F1487" s="6"/>
      <c r="G1487" s="7"/>
    </row>
    <row r="1488" spans="4:7" x14ac:dyDescent="0.2">
      <c r="D1488" s="6"/>
      <c r="E1488" s="6"/>
      <c r="F1488" s="6"/>
      <c r="G1488" s="7"/>
    </row>
    <row r="1489" spans="4:7" x14ac:dyDescent="0.2">
      <c r="D1489" s="6"/>
      <c r="E1489" s="6"/>
      <c r="F1489" s="6"/>
      <c r="G1489" s="7"/>
    </row>
    <row r="1490" spans="4:7" x14ac:dyDescent="0.2">
      <c r="D1490" s="6"/>
      <c r="E1490" s="6"/>
      <c r="F1490" s="6"/>
      <c r="G1490" s="7"/>
    </row>
    <row r="1491" spans="4:7" x14ac:dyDescent="0.2">
      <c r="D1491" s="6"/>
      <c r="E1491" s="6"/>
      <c r="F1491" s="6"/>
      <c r="G1491" s="7"/>
    </row>
    <row r="1492" spans="4:7" x14ac:dyDescent="0.2">
      <c r="D1492" s="6"/>
      <c r="E1492" s="6"/>
      <c r="F1492" s="6"/>
      <c r="G1492" s="7"/>
    </row>
    <row r="1493" spans="4:7" x14ac:dyDescent="0.2">
      <c r="D1493" s="6"/>
      <c r="E1493" s="6"/>
      <c r="F1493" s="6"/>
      <c r="G1493" s="7"/>
    </row>
    <row r="1494" spans="4:7" x14ac:dyDescent="0.2">
      <c r="D1494" s="6"/>
      <c r="E1494" s="6"/>
      <c r="F1494" s="6"/>
      <c r="G1494" s="7"/>
    </row>
    <row r="1495" spans="4:7" x14ac:dyDescent="0.2">
      <c r="D1495" s="6"/>
      <c r="E1495" s="6"/>
      <c r="F1495" s="6"/>
      <c r="G1495" s="7"/>
    </row>
    <row r="1496" spans="4:7" x14ac:dyDescent="0.2">
      <c r="D1496" s="6"/>
      <c r="E1496" s="6"/>
      <c r="F1496" s="6"/>
      <c r="G1496" s="7"/>
    </row>
    <row r="1497" spans="4:7" x14ac:dyDescent="0.2">
      <c r="D1497" s="6"/>
      <c r="E1497" s="6"/>
      <c r="F1497" s="6"/>
      <c r="G1497" s="7"/>
    </row>
    <row r="1498" spans="4:7" x14ac:dyDescent="0.2">
      <c r="D1498" s="6"/>
      <c r="E1498" s="6"/>
      <c r="F1498" s="6"/>
      <c r="G1498" s="7"/>
    </row>
    <row r="1499" spans="4:7" x14ac:dyDescent="0.2">
      <c r="D1499" s="6"/>
      <c r="E1499" s="6"/>
      <c r="F1499" s="6"/>
      <c r="G1499" s="7"/>
    </row>
    <row r="1500" spans="4:7" x14ac:dyDescent="0.2">
      <c r="D1500" s="6"/>
      <c r="E1500" s="6"/>
      <c r="F1500" s="6"/>
      <c r="G1500" s="7"/>
    </row>
    <row r="1501" spans="4:7" x14ac:dyDescent="0.2">
      <c r="D1501" s="6"/>
      <c r="E1501" s="6"/>
      <c r="F1501" s="6"/>
      <c r="G1501" s="7"/>
    </row>
    <row r="1502" spans="4:7" x14ac:dyDescent="0.2">
      <c r="D1502" s="6"/>
      <c r="E1502" s="6"/>
      <c r="F1502" s="6"/>
      <c r="G1502" s="7"/>
    </row>
    <row r="1503" spans="4:7" x14ac:dyDescent="0.2">
      <c r="D1503" s="6"/>
      <c r="E1503" s="6"/>
      <c r="F1503" s="6"/>
      <c r="G1503" s="7"/>
    </row>
    <row r="1504" spans="4:7" x14ac:dyDescent="0.2">
      <c r="D1504" s="6"/>
      <c r="E1504" s="6"/>
      <c r="F1504" s="6"/>
      <c r="G1504" s="7"/>
    </row>
    <row r="1505" spans="4:7" x14ac:dyDescent="0.2">
      <c r="D1505" s="6"/>
      <c r="E1505" s="6"/>
      <c r="F1505" s="6"/>
      <c r="G1505" s="7"/>
    </row>
    <row r="1506" spans="4:7" x14ac:dyDescent="0.2">
      <c r="D1506" s="6"/>
      <c r="E1506" s="6"/>
      <c r="F1506" s="6"/>
      <c r="G1506" s="7"/>
    </row>
    <row r="1507" spans="4:7" x14ac:dyDescent="0.2">
      <c r="D1507" s="6"/>
      <c r="E1507" s="6"/>
      <c r="F1507" s="6"/>
      <c r="G1507" s="7"/>
    </row>
    <row r="1508" spans="4:7" x14ac:dyDescent="0.2">
      <c r="D1508" s="6"/>
      <c r="E1508" s="6"/>
      <c r="F1508" s="6"/>
      <c r="G1508" s="7"/>
    </row>
    <row r="1509" spans="4:7" x14ac:dyDescent="0.2">
      <c r="D1509" s="6"/>
      <c r="E1509" s="6"/>
      <c r="F1509" s="6"/>
      <c r="G1509" s="7"/>
    </row>
    <row r="1510" spans="4:7" x14ac:dyDescent="0.2">
      <c r="D1510" s="6"/>
      <c r="E1510" s="6"/>
      <c r="F1510" s="6"/>
      <c r="G1510" s="7"/>
    </row>
    <row r="1511" spans="4:7" x14ac:dyDescent="0.2">
      <c r="D1511" s="6"/>
      <c r="E1511" s="6"/>
      <c r="F1511" s="6"/>
      <c r="G1511" s="7"/>
    </row>
    <row r="1512" spans="4:7" x14ac:dyDescent="0.2">
      <c r="D1512" s="6"/>
      <c r="E1512" s="6"/>
      <c r="F1512" s="6"/>
      <c r="G1512" s="7"/>
    </row>
    <row r="1513" spans="4:7" x14ac:dyDescent="0.2">
      <c r="D1513" s="6"/>
      <c r="E1513" s="6"/>
      <c r="F1513" s="6"/>
      <c r="G1513" s="7"/>
    </row>
    <row r="1514" spans="4:7" x14ac:dyDescent="0.2">
      <c r="D1514" s="6"/>
      <c r="E1514" s="6"/>
      <c r="F1514" s="6"/>
      <c r="G1514" s="7"/>
    </row>
    <row r="1515" spans="4:7" x14ac:dyDescent="0.2">
      <c r="D1515" s="6"/>
      <c r="E1515" s="6"/>
      <c r="F1515" s="6"/>
      <c r="G1515" s="7"/>
    </row>
    <row r="1516" spans="4:7" x14ac:dyDescent="0.2">
      <c r="D1516" s="6"/>
      <c r="E1516" s="6"/>
      <c r="F1516" s="6"/>
      <c r="G1516" s="7"/>
    </row>
    <row r="1517" spans="4:7" x14ac:dyDescent="0.2">
      <c r="D1517" s="6"/>
      <c r="E1517" s="6"/>
      <c r="F1517" s="6"/>
      <c r="G1517" s="7"/>
    </row>
    <row r="1518" spans="4:7" x14ac:dyDescent="0.2">
      <c r="D1518" s="6"/>
      <c r="E1518" s="6"/>
      <c r="F1518" s="6"/>
      <c r="G1518" s="7"/>
    </row>
    <row r="1519" spans="4:7" x14ac:dyDescent="0.2">
      <c r="D1519" s="6"/>
      <c r="E1519" s="6"/>
      <c r="F1519" s="6"/>
      <c r="G1519" s="7"/>
    </row>
    <row r="1520" spans="4:7" x14ac:dyDescent="0.2">
      <c r="D1520" s="6"/>
      <c r="E1520" s="6"/>
      <c r="F1520" s="6"/>
      <c r="G1520" s="7"/>
    </row>
    <row r="1521" spans="4:7" x14ac:dyDescent="0.2">
      <c r="D1521" s="6"/>
      <c r="E1521" s="6"/>
      <c r="F1521" s="6"/>
      <c r="G1521" s="7"/>
    </row>
    <row r="1522" spans="4:7" x14ac:dyDescent="0.2">
      <c r="D1522" s="6"/>
      <c r="E1522" s="6"/>
      <c r="F1522" s="6"/>
      <c r="G1522" s="7"/>
    </row>
    <row r="1523" spans="4:7" x14ac:dyDescent="0.2">
      <c r="D1523" s="6"/>
      <c r="E1523" s="6"/>
      <c r="F1523" s="6"/>
      <c r="G1523" s="7"/>
    </row>
    <row r="1524" spans="4:7" x14ac:dyDescent="0.2">
      <c r="D1524" s="6"/>
      <c r="E1524" s="6"/>
      <c r="F1524" s="6"/>
      <c r="G1524" s="7"/>
    </row>
    <row r="1525" spans="4:7" x14ac:dyDescent="0.2">
      <c r="D1525" s="6"/>
      <c r="E1525" s="6"/>
      <c r="F1525" s="6"/>
      <c r="G1525" s="7"/>
    </row>
    <row r="1526" spans="4:7" x14ac:dyDescent="0.2">
      <c r="D1526" s="6"/>
      <c r="E1526" s="6"/>
      <c r="F1526" s="6"/>
      <c r="G1526" s="7"/>
    </row>
    <row r="1527" spans="4:7" x14ac:dyDescent="0.2">
      <c r="D1527" s="6"/>
      <c r="E1527" s="6"/>
      <c r="F1527" s="6"/>
      <c r="G1527" s="7"/>
    </row>
    <row r="1528" spans="4:7" x14ac:dyDescent="0.2">
      <c r="D1528" s="6"/>
      <c r="E1528" s="6"/>
      <c r="F1528" s="6"/>
      <c r="G1528" s="7"/>
    </row>
    <row r="1529" spans="4:7" x14ac:dyDescent="0.2">
      <c r="D1529" s="6"/>
      <c r="E1529" s="6"/>
      <c r="F1529" s="6"/>
      <c r="G1529" s="7"/>
    </row>
    <row r="1530" spans="4:7" x14ac:dyDescent="0.2">
      <c r="D1530" s="6"/>
      <c r="E1530" s="6"/>
      <c r="F1530" s="6"/>
      <c r="G1530" s="7"/>
    </row>
    <row r="1531" spans="4:7" x14ac:dyDescent="0.2">
      <c r="D1531" s="6"/>
      <c r="E1531" s="6"/>
      <c r="F1531" s="6"/>
      <c r="G1531" s="7"/>
    </row>
    <row r="1532" spans="4:7" x14ac:dyDescent="0.2">
      <c r="D1532" s="6"/>
      <c r="E1532" s="6"/>
      <c r="F1532" s="6"/>
      <c r="G1532" s="7"/>
    </row>
    <row r="1533" spans="4:7" x14ac:dyDescent="0.2">
      <c r="D1533" s="6"/>
      <c r="E1533" s="6"/>
      <c r="F1533" s="6"/>
      <c r="G1533" s="7"/>
    </row>
    <row r="1534" spans="4:7" x14ac:dyDescent="0.2">
      <c r="D1534" s="6"/>
      <c r="E1534" s="6"/>
      <c r="F1534" s="6"/>
      <c r="G1534" s="7"/>
    </row>
    <row r="1535" spans="4:7" x14ac:dyDescent="0.2">
      <c r="D1535" s="6"/>
      <c r="E1535" s="6"/>
      <c r="F1535" s="6"/>
      <c r="G1535" s="7"/>
    </row>
    <row r="1536" spans="4:7" x14ac:dyDescent="0.2">
      <c r="D1536" s="6"/>
      <c r="E1536" s="6"/>
      <c r="F1536" s="6"/>
      <c r="G1536" s="7"/>
    </row>
    <row r="1537" spans="4:7" x14ac:dyDescent="0.2">
      <c r="D1537" s="6"/>
      <c r="E1537" s="6"/>
      <c r="F1537" s="6"/>
      <c r="G1537" s="7"/>
    </row>
    <row r="1538" spans="4:7" x14ac:dyDescent="0.2">
      <c r="D1538" s="6"/>
      <c r="E1538" s="6"/>
      <c r="F1538" s="6"/>
      <c r="G1538" s="7"/>
    </row>
    <row r="1539" spans="4:7" x14ac:dyDescent="0.2">
      <c r="D1539" s="6"/>
      <c r="E1539" s="6"/>
      <c r="F1539" s="6"/>
      <c r="G1539" s="7"/>
    </row>
    <row r="1540" spans="4:7" x14ac:dyDescent="0.2">
      <c r="D1540" s="6"/>
      <c r="E1540" s="6"/>
      <c r="F1540" s="6"/>
      <c r="G1540" s="7"/>
    </row>
    <row r="1541" spans="4:7" x14ac:dyDescent="0.2">
      <c r="D1541" s="6"/>
      <c r="E1541" s="6"/>
      <c r="F1541" s="6"/>
      <c r="G1541" s="7"/>
    </row>
    <row r="1542" spans="4:7" x14ac:dyDescent="0.2">
      <c r="D1542" s="6"/>
      <c r="E1542" s="6"/>
      <c r="F1542" s="6"/>
      <c r="G1542" s="7"/>
    </row>
    <row r="1543" spans="4:7" x14ac:dyDescent="0.2">
      <c r="D1543" s="6"/>
      <c r="E1543" s="6"/>
      <c r="F1543" s="6"/>
      <c r="G1543" s="7"/>
    </row>
    <row r="1544" spans="4:7" x14ac:dyDescent="0.2">
      <c r="D1544" s="6"/>
      <c r="E1544" s="6"/>
      <c r="F1544" s="6"/>
      <c r="G1544" s="7"/>
    </row>
    <row r="1545" spans="4:7" x14ac:dyDescent="0.2">
      <c r="D1545" s="6"/>
      <c r="E1545" s="6"/>
      <c r="F1545" s="6"/>
      <c r="G1545" s="7"/>
    </row>
    <row r="1546" spans="4:7" x14ac:dyDescent="0.2">
      <c r="D1546" s="6"/>
      <c r="E1546" s="6"/>
      <c r="F1546" s="6"/>
      <c r="G1546" s="7"/>
    </row>
    <row r="1547" spans="4:7" x14ac:dyDescent="0.2">
      <c r="D1547" s="6"/>
      <c r="E1547" s="6"/>
      <c r="F1547" s="6"/>
      <c r="G1547" s="7"/>
    </row>
    <row r="1548" spans="4:7" x14ac:dyDescent="0.2">
      <c r="D1548" s="6"/>
      <c r="E1548" s="6"/>
      <c r="F1548" s="6"/>
      <c r="G1548" s="7"/>
    </row>
    <row r="1549" spans="4:7" x14ac:dyDescent="0.2">
      <c r="D1549" s="6"/>
      <c r="E1549" s="6"/>
      <c r="F1549" s="6"/>
      <c r="G1549" s="7"/>
    </row>
    <row r="1550" spans="4:7" x14ac:dyDescent="0.2">
      <c r="D1550" s="6"/>
      <c r="E1550" s="6"/>
      <c r="F1550" s="6"/>
      <c r="G1550" s="7"/>
    </row>
    <row r="1551" spans="4:7" x14ac:dyDescent="0.2">
      <c r="D1551" s="6"/>
      <c r="E1551" s="6"/>
      <c r="F1551" s="6"/>
      <c r="G1551" s="7"/>
    </row>
    <row r="1552" spans="4:7" x14ac:dyDescent="0.2">
      <c r="D1552" s="6"/>
      <c r="E1552" s="6"/>
      <c r="F1552" s="6"/>
      <c r="G1552" s="7"/>
    </row>
    <row r="1553" spans="4:7" x14ac:dyDescent="0.2">
      <c r="D1553" s="6"/>
      <c r="E1553" s="6"/>
      <c r="F1553" s="6"/>
      <c r="G1553" s="7"/>
    </row>
    <row r="1554" spans="4:7" x14ac:dyDescent="0.2">
      <c r="D1554" s="6"/>
      <c r="E1554" s="6"/>
      <c r="F1554" s="6"/>
      <c r="G1554" s="7"/>
    </row>
    <row r="1555" spans="4:7" x14ac:dyDescent="0.2">
      <c r="D1555" s="6"/>
      <c r="E1555" s="6"/>
      <c r="F1555" s="6"/>
      <c r="G1555" s="7"/>
    </row>
    <row r="1556" spans="4:7" x14ac:dyDescent="0.2">
      <c r="D1556" s="6"/>
      <c r="E1556" s="6"/>
      <c r="F1556" s="6"/>
      <c r="G1556" s="7"/>
    </row>
    <row r="1557" spans="4:7" x14ac:dyDescent="0.2">
      <c r="D1557" s="6"/>
      <c r="E1557" s="6"/>
      <c r="F1557" s="6"/>
      <c r="G1557" s="7"/>
    </row>
    <row r="1558" spans="4:7" x14ac:dyDescent="0.2">
      <c r="D1558" s="6"/>
      <c r="E1558" s="6"/>
      <c r="F1558" s="6"/>
      <c r="G1558" s="7"/>
    </row>
    <row r="1559" spans="4:7" x14ac:dyDescent="0.2">
      <c r="D1559" s="6"/>
      <c r="E1559" s="6"/>
      <c r="F1559" s="6"/>
      <c r="G1559" s="7"/>
    </row>
    <row r="1560" spans="4:7" x14ac:dyDescent="0.2">
      <c r="D1560" s="6"/>
      <c r="E1560" s="6"/>
      <c r="F1560" s="6"/>
      <c r="G1560" s="7"/>
    </row>
    <row r="1561" spans="4:7" x14ac:dyDescent="0.2">
      <c r="D1561" s="6"/>
      <c r="E1561" s="6"/>
      <c r="F1561" s="6"/>
      <c r="G1561" s="7"/>
    </row>
    <row r="1562" spans="4:7" x14ac:dyDescent="0.2">
      <c r="D1562" s="6"/>
      <c r="E1562" s="6"/>
      <c r="F1562" s="6"/>
      <c r="G1562" s="7"/>
    </row>
    <row r="1563" spans="4:7" x14ac:dyDescent="0.2">
      <c r="D1563" s="6"/>
      <c r="E1563" s="6"/>
      <c r="F1563" s="6"/>
      <c r="G1563" s="7"/>
    </row>
    <row r="1564" spans="4:7" x14ac:dyDescent="0.2">
      <c r="D1564" s="6"/>
      <c r="E1564" s="6"/>
      <c r="F1564" s="6"/>
      <c r="G1564" s="7"/>
    </row>
    <row r="1565" spans="4:7" x14ac:dyDescent="0.2">
      <c r="D1565" s="6"/>
      <c r="E1565" s="6"/>
      <c r="F1565" s="6"/>
      <c r="G1565" s="7"/>
    </row>
    <row r="1566" spans="4:7" x14ac:dyDescent="0.2">
      <c r="D1566" s="6"/>
      <c r="E1566" s="6"/>
      <c r="F1566" s="6"/>
      <c r="G1566" s="7"/>
    </row>
    <row r="1567" spans="4:7" x14ac:dyDescent="0.2">
      <c r="D1567" s="6"/>
      <c r="E1567" s="6"/>
      <c r="F1567" s="6"/>
      <c r="G1567" s="7"/>
    </row>
    <row r="1568" spans="4:7" x14ac:dyDescent="0.2">
      <c r="D1568" s="6"/>
      <c r="E1568" s="6"/>
      <c r="F1568" s="6"/>
      <c r="G1568" s="7"/>
    </row>
    <row r="1569" spans="4:7" x14ac:dyDescent="0.2">
      <c r="D1569" s="6"/>
      <c r="E1569" s="6"/>
      <c r="F1569" s="6"/>
      <c r="G1569" s="7"/>
    </row>
    <row r="1570" spans="4:7" x14ac:dyDescent="0.2">
      <c r="D1570" s="6"/>
      <c r="E1570" s="6"/>
      <c r="F1570" s="6"/>
      <c r="G1570" s="7"/>
    </row>
    <row r="1571" spans="4:7" x14ac:dyDescent="0.2">
      <c r="D1571" s="6"/>
      <c r="E1571" s="6"/>
      <c r="F1571" s="6"/>
      <c r="G1571" s="7"/>
    </row>
    <row r="1572" spans="4:7" x14ac:dyDescent="0.2">
      <c r="D1572" s="6"/>
      <c r="E1572" s="6"/>
      <c r="F1572" s="6"/>
      <c r="G1572" s="7"/>
    </row>
    <row r="1573" spans="4:7" x14ac:dyDescent="0.2">
      <c r="D1573" s="6"/>
      <c r="E1573" s="6"/>
      <c r="F1573" s="6"/>
      <c r="G1573" s="7"/>
    </row>
    <row r="1574" spans="4:7" x14ac:dyDescent="0.2">
      <c r="D1574" s="6"/>
      <c r="E1574" s="6"/>
      <c r="F1574" s="6"/>
      <c r="G1574" s="7"/>
    </row>
    <row r="1575" spans="4:7" x14ac:dyDescent="0.2">
      <c r="D1575" s="6"/>
      <c r="E1575" s="6"/>
      <c r="F1575" s="6"/>
      <c r="G1575" s="7"/>
    </row>
    <row r="1576" spans="4:7" x14ac:dyDescent="0.2">
      <c r="D1576" s="6"/>
      <c r="E1576" s="6"/>
      <c r="F1576" s="6"/>
      <c r="G1576" s="7"/>
    </row>
    <row r="1577" spans="4:7" x14ac:dyDescent="0.2">
      <c r="D1577" s="6"/>
      <c r="E1577" s="6"/>
      <c r="F1577" s="6"/>
      <c r="G1577" s="7"/>
    </row>
    <row r="1578" spans="4:7" x14ac:dyDescent="0.2">
      <c r="D1578" s="6"/>
      <c r="E1578" s="6"/>
      <c r="F1578" s="6"/>
      <c r="G1578" s="7"/>
    </row>
    <row r="1579" spans="4:7" x14ac:dyDescent="0.2">
      <c r="D1579" s="6"/>
      <c r="E1579" s="6"/>
      <c r="F1579" s="6"/>
      <c r="G1579" s="7"/>
    </row>
    <row r="1580" spans="4:7" x14ac:dyDescent="0.2">
      <c r="D1580" s="6"/>
      <c r="E1580" s="6"/>
      <c r="F1580" s="6"/>
      <c r="G1580" s="7"/>
    </row>
    <row r="1581" spans="4:7" x14ac:dyDescent="0.2">
      <c r="D1581" s="6"/>
      <c r="E1581" s="6"/>
      <c r="F1581" s="6"/>
      <c r="G1581" s="7"/>
    </row>
    <row r="1582" spans="4:7" x14ac:dyDescent="0.2">
      <c r="D1582" s="6"/>
      <c r="E1582" s="6"/>
      <c r="F1582" s="6"/>
      <c r="G1582" s="7"/>
    </row>
    <row r="1583" spans="4:7" x14ac:dyDescent="0.2">
      <c r="D1583" s="6"/>
      <c r="E1583" s="6"/>
      <c r="F1583" s="6"/>
      <c r="G1583" s="7"/>
    </row>
    <row r="1584" spans="4:7" x14ac:dyDescent="0.2">
      <c r="D1584" s="6"/>
      <c r="E1584" s="6"/>
      <c r="F1584" s="6"/>
      <c r="G1584" s="7"/>
    </row>
    <row r="1585" spans="4:7" x14ac:dyDescent="0.2">
      <c r="D1585" s="6"/>
      <c r="E1585" s="6"/>
      <c r="F1585" s="6"/>
      <c r="G1585" s="7"/>
    </row>
    <row r="1586" spans="4:7" x14ac:dyDescent="0.2">
      <c r="D1586" s="6"/>
      <c r="E1586" s="6"/>
      <c r="F1586" s="6"/>
      <c r="G1586" s="7"/>
    </row>
    <row r="1587" spans="4:7" x14ac:dyDescent="0.2">
      <c r="D1587" s="6"/>
      <c r="E1587" s="6"/>
      <c r="F1587" s="6"/>
      <c r="G1587" s="7"/>
    </row>
    <row r="1588" spans="4:7" x14ac:dyDescent="0.2">
      <c r="D1588" s="6"/>
      <c r="E1588" s="6"/>
      <c r="F1588" s="6"/>
      <c r="G1588" s="7"/>
    </row>
    <row r="1589" spans="4:7" x14ac:dyDescent="0.2">
      <c r="D1589" s="6"/>
      <c r="E1589" s="6"/>
      <c r="F1589" s="6"/>
      <c r="G1589" s="7"/>
    </row>
    <row r="1590" spans="4:7" x14ac:dyDescent="0.2">
      <c r="D1590" s="6"/>
      <c r="E1590" s="6"/>
      <c r="F1590" s="6"/>
      <c r="G1590" s="7"/>
    </row>
    <row r="1591" spans="4:7" x14ac:dyDescent="0.2">
      <c r="D1591" s="6"/>
      <c r="E1591" s="6"/>
      <c r="F1591" s="6"/>
      <c r="G1591" s="7"/>
    </row>
    <row r="1592" spans="4:7" x14ac:dyDescent="0.2">
      <c r="D1592" s="6"/>
      <c r="E1592" s="6"/>
      <c r="F1592" s="6"/>
      <c r="G1592" s="7"/>
    </row>
    <row r="1593" spans="4:7" x14ac:dyDescent="0.2">
      <c r="D1593" s="6"/>
      <c r="E1593" s="6"/>
      <c r="F1593" s="6"/>
      <c r="G1593" s="7"/>
    </row>
    <row r="1594" spans="4:7" x14ac:dyDescent="0.2">
      <c r="D1594" s="6"/>
      <c r="E1594" s="6"/>
      <c r="F1594" s="6"/>
      <c r="G1594" s="7"/>
    </row>
    <row r="1595" spans="4:7" x14ac:dyDescent="0.2">
      <c r="D1595" s="6"/>
      <c r="E1595" s="6"/>
      <c r="F1595" s="6"/>
      <c r="G1595" s="7"/>
    </row>
    <row r="1596" spans="4:7" x14ac:dyDescent="0.2">
      <c r="D1596" s="6"/>
      <c r="E1596" s="6"/>
      <c r="F1596" s="6"/>
      <c r="G1596" s="7"/>
    </row>
    <row r="1597" spans="4:7" x14ac:dyDescent="0.2">
      <c r="D1597" s="6"/>
      <c r="E1597" s="6"/>
      <c r="F1597" s="6"/>
      <c r="G1597" s="7"/>
    </row>
    <row r="1598" spans="4:7" x14ac:dyDescent="0.2">
      <c r="D1598" s="6"/>
      <c r="E1598" s="6"/>
      <c r="F1598" s="6"/>
      <c r="G1598" s="7"/>
    </row>
    <row r="1599" spans="4:7" x14ac:dyDescent="0.2">
      <c r="D1599" s="6"/>
      <c r="E1599" s="6"/>
      <c r="F1599" s="6"/>
      <c r="G1599" s="7"/>
    </row>
    <row r="1600" spans="4:7" x14ac:dyDescent="0.2">
      <c r="D1600" s="6"/>
      <c r="E1600" s="6"/>
      <c r="F1600" s="6"/>
      <c r="G1600" s="7"/>
    </row>
    <row r="1601" spans="4:7" x14ac:dyDescent="0.2">
      <c r="D1601" s="6"/>
      <c r="E1601" s="6"/>
      <c r="F1601" s="6"/>
      <c r="G1601" s="7"/>
    </row>
    <row r="1602" spans="4:7" x14ac:dyDescent="0.2">
      <c r="D1602" s="6"/>
      <c r="E1602" s="6"/>
      <c r="F1602" s="6"/>
      <c r="G1602" s="7"/>
    </row>
    <row r="1603" spans="4:7" x14ac:dyDescent="0.2">
      <c r="D1603" s="6"/>
      <c r="E1603" s="6"/>
      <c r="F1603" s="6"/>
      <c r="G1603" s="7"/>
    </row>
    <row r="1604" spans="4:7" x14ac:dyDescent="0.2">
      <c r="D1604" s="6"/>
      <c r="E1604" s="6"/>
      <c r="F1604" s="6"/>
      <c r="G1604" s="7"/>
    </row>
    <row r="1605" spans="4:7" x14ac:dyDescent="0.2">
      <c r="D1605" s="6"/>
      <c r="E1605" s="6"/>
      <c r="F1605" s="6"/>
      <c r="G1605" s="7"/>
    </row>
    <row r="1606" spans="4:7" x14ac:dyDescent="0.2">
      <c r="D1606" s="6"/>
      <c r="E1606" s="6"/>
      <c r="F1606" s="6"/>
      <c r="G1606" s="7"/>
    </row>
    <row r="1607" spans="4:7" x14ac:dyDescent="0.2">
      <c r="D1607" s="6"/>
      <c r="E1607" s="6"/>
      <c r="F1607" s="6"/>
      <c r="G1607" s="7"/>
    </row>
    <row r="1608" spans="4:7" x14ac:dyDescent="0.2">
      <c r="D1608" s="6"/>
      <c r="E1608" s="6"/>
      <c r="F1608" s="6"/>
      <c r="G1608" s="7"/>
    </row>
    <row r="1609" spans="4:7" x14ac:dyDescent="0.2">
      <c r="D1609" s="6"/>
      <c r="E1609" s="6"/>
      <c r="F1609" s="6"/>
      <c r="G1609" s="7"/>
    </row>
    <row r="1610" spans="4:7" x14ac:dyDescent="0.2">
      <c r="D1610" s="6"/>
      <c r="E1610" s="6"/>
      <c r="F1610" s="6"/>
      <c r="G1610" s="7"/>
    </row>
    <row r="1611" spans="4:7" x14ac:dyDescent="0.2">
      <c r="D1611" s="6"/>
      <c r="E1611" s="6"/>
      <c r="F1611" s="6"/>
      <c r="G1611" s="7"/>
    </row>
    <row r="1612" spans="4:7" x14ac:dyDescent="0.2">
      <c r="D1612" s="6"/>
      <c r="E1612" s="6"/>
      <c r="F1612" s="6"/>
      <c r="G1612" s="7"/>
    </row>
    <row r="1613" spans="4:7" x14ac:dyDescent="0.2">
      <c r="D1613" s="6"/>
      <c r="E1613" s="6"/>
      <c r="F1613" s="6"/>
      <c r="G1613" s="7"/>
    </row>
    <row r="1614" spans="4:7" x14ac:dyDescent="0.2">
      <c r="D1614" s="6"/>
      <c r="E1614" s="6"/>
      <c r="F1614" s="6"/>
      <c r="G1614" s="7"/>
    </row>
    <row r="1615" spans="4:7" x14ac:dyDescent="0.2">
      <c r="D1615" s="6"/>
      <c r="E1615" s="6"/>
      <c r="F1615" s="6"/>
      <c r="G1615" s="7"/>
    </row>
    <row r="1616" spans="4:7" x14ac:dyDescent="0.2">
      <c r="D1616" s="6"/>
      <c r="E1616" s="6"/>
      <c r="F1616" s="6"/>
      <c r="G1616" s="7"/>
    </row>
    <row r="1617" spans="4:7" x14ac:dyDescent="0.2">
      <c r="D1617" s="6"/>
      <c r="E1617" s="6"/>
      <c r="F1617" s="6"/>
      <c r="G1617" s="7"/>
    </row>
    <row r="1618" spans="4:7" x14ac:dyDescent="0.2">
      <c r="D1618" s="6"/>
      <c r="E1618" s="6"/>
      <c r="F1618" s="6"/>
      <c r="G1618" s="7"/>
    </row>
    <row r="1619" spans="4:7" x14ac:dyDescent="0.2">
      <c r="D1619" s="6"/>
      <c r="E1619" s="6"/>
      <c r="F1619" s="6"/>
      <c r="G1619" s="7"/>
    </row>
    <row r="1620" spans="4:7" x14ac:dyDescent="0.2">
      <c r="D1620" s="6"/>
      <c r="E1620" s="6"/>
      <c r="F1620" s="6"/>
      <c r="G1620" s="7"/>
    </row>
    <row r="1621" spans="4:7" x14ac:dyDescent="0.2">
      <c r="D1621" s="6"/>
      <c r="E1621" s="6"/>
      <c r="F1621" s="6"/>
      <c r="G1621" s="7"/>
    </row>
    <row r="1622" spans="4:7" x14ac:dyDescent="0.2">
      <c r="D1622" s="6"/>
      <c r="E1622" s="6"/>
      <c r="F1622" s="6"/>
      <c r="G1622" s="7"/>
    </row>
    <row r="1623" spans="4:7" x14ac:dyDescent="0.2">
      <c r="D1623" s="6"/>
      <c r="E1623" s="6"/>
      <c r="F1623" s="6"/>
      <c r="G1623" s="7"/>
    </row>
    <row r="1624" spans="4:7" x14ac:dyDescent="0.2">
      <c r="D1624" s="6"/>
      <c r="E1624" s="6"/>
      <c r="F1624" s="6"/>
      <c r="G1624" s="7"/>
    </row>
    <row r="1625" spans="4:7" x14ac:dyDescent="0.2">
      <c r="D1625" s="6"/>
      <c r="E1625" s="6"/>
      <c r="F1625" s="6"/>
      <c r="G1625" s="7"/>
    </row>
    <row r="1626" spans="4:7" x14ac:dyDescent="0.2">
      <c r="D1626" s="6"/>
      <c r="E1626" s="6"/>
      <c r="F1626" s="6"/>
      <c r="G1626" s="7"/>
    </row>
    <row r="1627" spans="4:7" x14ac:dyDescent="0.2">
      <c r="D1627" s="6"/>
      <c r="E1627" s="6"/>
      <c r="F1627" s="6"/>
      <c r="G1627" s="7"/>
    </row>
    <row r="1628" spans="4:7" x14ac:dyDescent="0.2">
      <c r="D1628" s="6"/>
      <c r="E1628" s="6"/>
      <c r="F1628" s="6"/>
      <c r="G1628" s="7"/>
    </row>
    <row r="1629" spans="4:7" x14ac:dyDescent="0.2">
      <c r="D1629" s="6"/>
      <c r="E1629" s="6"/>
      <c r="F1629" s="6"/>
      <c r="G1629" s="7"/>
    </row>
    <row r="1630" spans="4:7" x14ac:dyDescent="0.2">
      <c r="D1630" s="6"/>
      <c r="E1630" s="6"/>
      <c r="F1630" s="6"/>
      <c r="G1630" s="7"/>
    </row>
    <row r="1631" spans="4:7" x14ac:dyDescent="0.2">
      <c r="D1631" s="6"/>
      <c r="E1631" s="6"/>
      <c r="F1631" s="6"/>
      <c r="G1631" s="7"/>
    </row>
    <row r="1632" spans="4:7" x14ac:dyDescent="0.2">
      <c r="D1632" s="6"/>
      <c r="E1632" s="6"/>
      <c r="F1632" s="6"/>
      <c r="G1632" s="7"/>
    </row>
    <row r="1633" spans="4:7" x14ac:dyDescent="0.2">
      <c r="D1633" s="6"/>
      <c r="E1633" s="6"/>
      <c r="F1633" s="6"/>
      <c r="G1633" s="7"/>
    </row>
    <row r="1634" spans="4:7" x14ac:dyDescent="0.2">
      <c r="D1634" s="6"/>
      <c r="E1634" s="6"/>
      <c r="F1634" s="6"/>
      <c r="G1634" s="7"/>
    </row>
    <row r="1635" spans="4:7" x14ac:dyDescent="0.2">
      <c r="D1635" s="6"/>
      <c r="E1635" s="6"/>
      <c r="F1635" s="6"/>
      <c r="G1635" s="7"/>
    </row>
    <row r="1636" spans="4:7" x14ac:dyDescent="0.2">
      <c r="D1636" s="6"/>
      <c r="E1636" s="6"/>
      <c r="F1636" s="6"/>
      <c r="G1636" s="7"/>
    </row>
    <row r="1637" spans="4:7" x14ac:dyDescent="0.2">
      <c r="D1637" s="6"/>
      <c r="E1637" s="6"/>
      <c r="F1637" s="6"/>
      <c r="G1637" s="7"/>
    </row>
    <row r="1638" spans="4:7" x14ac:dyDescent="0.2">
      <c r="D1638" s="6"/>
      <c r="E1638" s="6"/>
      <c r="F1638" s="6"/>
      <c r="G1638" s="7"/>
    </row>
    <row r="1639" spans="4:7" x14ac:dyDescent="0.2">
      <c r="D1639" s="6"/>
      <c r="E1639" s="6"/>
      <c r="F1639" s="6"/>
      <c r="G1639" s="7"/>
    </row>
    <row r="1640" spans="4:7" x14ac:dyDescent="0.2">
      <c r="D1640" s="6"/>
      <c r="E1640" s="6"/>
      <c r="F1640" s="6"/>
      <c r="G1640" s="7"/>
    </row>
    <row r="1641" spans="4:7" x14ac:dyDescent="0.2">
      <c r="D1641" s="6"/>
      <c r="E1641" s="6"/>
      <c r="F1641" s="6"/>
      <c r="G1641" s="7"/>
    </row>
    <row r="1642" spans="4:7" x14ac:dyDescent="0.2">
      <c r="D1642" s="6"/>
      <c r="E1642" s="6"/>
      <c r="F1642" s="6"/>
      <c r="G1642" s="7"/>
    </row>
    <row r="1643" spans="4:7" x14ac:dyDescent="0.2">
      <c r="D1643" s="6"/>
      <c r="E1643" s="6"/>
      <c r="F1643" s="6"/>
      <c r="G1643" s="7"/>
    </row>
    <row r="1644" spans="4:7" x14ac:dyDescent="0.2">
      <c r="D1644" s="6"/>
      <c r="E1644" s="6"/>
      <c r="F1644" s="6"/>
      <c r="G1644" s="7"/>
    </row>
    <row r="1645" spans="4:7" x14ac:dyDescent="0.2">
      <c r="D1645" s="6"/>
      <c r="E1645" s="6"/>
      <c r="F1645" s="6"/>
      <c r="G1645" s="7"/>
    </row>
    <row r="1646" spans="4:7" x14ac:dyDescent="0.2">
      <c r="D1646" s="6"/>
      <c r="E1646" s="6"/>
      <c r="F1646" s="6"/>
      <c r="G1646" s="7"/>
    </row>
    <row r="1647" spans="4:7" x14ac:dyDescent="0.2">
      <c r="D1647" s="6"/>
      <c r="E1647" s="6"/>
      <c r="F1647" s="6"/>
      <c r="G1647" s="7"/>
    </row>
    <row r="1648" spans="4:7" x14ac:dyDescent="0.2">
      <c r="D1648" s="6"/>
      <c r="E1648" s="6"/>
      <c r="F1648" s="6"/>
      <c r="G1648" s="7"/>
    </row>
    <row r="1649" spans="4:7" x14ac:dyDescent="0.2">
      <c r="D1649" s="6"/>
      <c r="E1649" s="6"/>
      <c r="F1649" s="6"/>
      <c r="G1649" s="7"/>
    </row>
    <row r="1650" spans="4:7" x14ac:dyDescent="0.2">
      <c r="D1650" s="6"/>
      <c r="E1650" s="6"/>
      <c r="F1650" s="6"/>
      <c r="G1650" s="7"/>
    </row>
    <row r="1651" spans="4:7" x14ac:dyDescent="0.2">
      <c r="D1651" s="6"/>
      <c r="E1651" s="6"/>
      <c r="F1651" s="6"/>
      <c r="G1651" s="7"/>
    </row>
    <row r="1652" spans="4:7" x14ac:dyDescent="0.2">
      <c r="D1652" s="6"/>
      <c r="E1652" s="6"/>
      <c r="F1652" s="6"/>
      <c r="G1652" s="7"/>
    </row>
    <row r="1653" spans="4:7" x14ac:dyDescent="0.2">
      <c r="D1653" s="6"/>
      <c r="E1653" s="6"/>
      <c r="F1653" s="6"/>
      <c r="G1653" s="7"/>
    </row>
    <row r="1654" spans="4:7" x14ac:dyDescent="0.2">
      <c r="D1654" s="6"/>
      <c r="E1654" s="6"/>
      <c r="F1654" s="6"/>
      <c r="G1654" s="7"/>
    </row>
    <row r="1655" spans="4:7" x14ac:dyDescent="0.2">
      <c r="D1655" s="6"/>
      <c r="E1655" s="6"/>
      <c r="F1655" s="6"/>
      <c r="G1655" s="7"/>
    </row>
    <row r="1656" spans="4:7" x14ac:dyDescent="0.2">
      <c r="D1656" s="6"/>
      <c r="E1656" s="6"/>
      <c r="F1656" s="6"/>
      <c r="G1656" s="7"/>
    </row>
    <row r="1657" spans="4:7" x14ac:dyDescent="0.2">
      <c r="D1657" s="6"/>
      <c r="E1657" s="6"/>
      <c r="F1657" s="6"/>
      <c r="G1657" s="7"/>
    </row>
    <row r="1658" spans="4:7" x14ac:dyDescent="0.2">
      <c r="D1658" s="6"/>
      <c r="E1658" s="6"/>
      <c r="F1658" s="6"/>
      <c r="G1658" s="7"/>
    </row>
    <row r="1659" spans="4:7" x14ac:dyDescent="0.2">
      <c r="D1659" s="6"/>
      <c r="E1659" s="6"/>
      <c r="F1659" s="6"/>
      <c r="G1659" s="7"/>
    </row>
    <row r="1660" spans="4:7" x14ac:dyDescent="0.2">
      <c r="D1660" s="6"/>
      <c r="E1660" s="6"/>
      <c r="F1660" s="6"/>
      <c r="G1660" s="7"/>
    </row>
    <row r="1661" spans="4:7" x14ac:dyDescent="0.2">
      <c r="D1661" s="6"/>
      <c r="E1661" s="6"/>
      <c r="F1661" s="6"/>
      <c r="G1661" s="7"/>
    </row>
    <row r="1662" spans="4:7" x14ac:dyDescent="0.2">
      <c r="D1662" s="6"/>
      <c r="E1662" s="6"/>
      <c r="F1662" s="6"/>
      <c r="G1662" s="7"/>
    </row>
    <row r="1663" spans="4:7" x14ac:dyDescent="0.2">
      <c r="D1663" s="6"/>
      <c r="E1663" s="6"/>
      <c r="F1663" s="6"/>
      <c r="G1663" s="7"/>
    </row>
    <row r="1664" spans="4:7" x14ac:dyDescent="0.2">
      <c r="D1664" s="6"/>
      <c r="E1664" s="6"/>
      <c r="F1664" s="6"/>
      <c r="G1664" s="7"/>
    </row>
    <row r="1665" spans="4:7" x14ac:dyDescent="0.2">
      <c r="D1665" s="6"/>
      <c r="E1665" s="6"/>
      <c r="F1665" s="6"/>
      <c r="G1665" s="7"/>
    </row>
    <row r="1666" spans="4:7" x14ac:dyDescent="0.2">
      <c r="D1666" s="6"/>
      <c r="E1666" s="6"/>
      <c r="F1666" s="6"/>
      <c r="G1666" s="7"/>
    </row>
    <row r="1667" spans="4:7" x14ac:dyDescent="0.2">
      <c r="D1667" s="6"/>
      <c r="E1667" s="6"/>
      <c r="F1667" s="6"/>
      <c r="G1667" s="7"/>
    </row>
    <row r="1668" spans="4:7" x14ac:dyDescent="0.2">
      <c r="D1668" s="6"/>
      <c r="E1668" s="6"/>
      <c r="F1668" s="6"/>
      <c r="G1668" s="7"/>
    </row>
    <row r="1669" spans="4:7" x14ac:dyDescent="0.2">
      <c r="D1669" s="6"/>
      <c r="E1669" s="6"/>
      <c r="F1669" s="6"/>
      <c r="G1669" s="7"/>
    </row>
    <row r="1670" spans="4:7" x14ac:dyDescent="0.2">
      <c r="D1670" s="6"/>
      <c r="E1670" s="6"/>
      <c r="F1670" s="6"/>
      <c r="G1670" s="7"/>
    </row>
    <row r="1671" spans="4:7" x14ac:dyDescent="0.2">
      <c r="D1671" s="6"/>
      <c r="E1671" s="6"/>
      <c r="F1671" s="6"/>
      <c r="G1671" s="7"/>
    </row>
    <row r="1672" spans="4:7" x14ac:dyDescent="0.2">
      <c r="D1672" s="6"/>
      <c r="E1672" s="6"/>
      <c r="F1672" s="6"/>
      <c r="G1672" s="7"/>
    </row>
    <row r="1673" spans="4:7" x14ac:dyDescent="0.2">
      <c r="D1673" s="6"/>
      <c r="E1673" s="6"/>
      <c r="F1673" s="6"/>
      <c r="G1673" s="7"/>
    </row>
    <row r="1674" spans="4:7" x14ac:dyDescent="0.2">
      <c r="D1674" s="6"/>
      <c r="E1674" s="6"/>
      <c r="F1674" s="6"/>
      <c r="G1674" s="7"/>
    </row>
    <row r="1675" spans="4:7" x14ac:dyDescent="0.2">
      <c r="D1675" s="6"/>
      <c r="E1675" s="6"/>
      <c r="F1675" s="6"/>
      <c r="G1675" s="7"/>
    </row>
    <row r="1676" spans="4:7" x14ac:dyDescent="0.2">
      <c r="D1676" s="6"/>
      <c r="E1676" s="6"/>
      <c r="F1676" s="6"/>
      <c r="G1676" s="7"/>
    </row>
    <row r="1677" spans="4:7" x14ac:dyDescent="0.2">
      <c r="D1677" s="6"/>
      <c r="E1677" s="6"/>
      <c r="F1677" s="6"/>
      <c r="G1677" s="7"/>
    </row>
    <row r="1678" spans="4:7" x14ac:dyDescent="0.2">
      <c r="D1678" s="6"/>
      <c r="E1678" s="6"/>
      <c r="F1678" s="6"/>
      <c r="G1678" s="7"/>
    </row>
    <row r="1679" spans="4:7" x14ac:dyDescent="0.2">
      <c r="D1679" s="6"/>
      <c r="E1679" s="6"/>
      <c r="F1679" s="6"/>
      <c r="G1679" s="7"/>
    </row>
    <row r="1680" spans="4:7" x14ac:dyDescent="0.2">
      <c r="D1680" s="6"/>
      <c r="E1680" s="6"/>
      <c r="F1680" s="6"/>
      <c r="G1680" s="7"/>
    </row>
    <row r="1681" spans="4:7" x14ac:dyDescent="0.2">
      <c r="D1681" s="6"/>
      <c r="E1681" s="6"/>
      <c r="F1681" s="6"/>
      <c r="G1681" s="7"/>
    </row>
    <row r="1682" spans="4:7" x14ac:dyDescent="0.2">
      <c r="D1682" s="6"/>
      <c r="E1682" s="6"/>
      <c r="F1682" s="6"/>
      <c r="G1682" s="7"/>
    </row>
    <row r="1683" spans="4:7" x14ac:dyDescent="0.2">
      <c r="D1683" s="6"/>
      <c r="E1683" s="6"/>
      <c r="F1683" s="6"/>
      <c r="G1683" s="7"/>
    </row>
    <row r="1684" spans="4:7" x14ac:dyDescent="0.2">
      <c r="D1684" s="6"/>
      <c r="E1684" s="6"/>
      <c r="F1684" s="6"/>
      <c r="G1684" s="7"/>
    </row>
    <row r="1685" spans="4:7" x14ac:dyDescent="0.2">
      <c r="D1685" s="6"/>
      <c r="E1685" s="6"/>
      <c r="F1685" s="6"/>
      <c r="G1685" s="7"/>
    </row>
    <row r="1686" spans="4:7" x14ac:dyDescent="0.2">
      <c r="D1686" s="6"/>
      <c r="E1686" s="6"/>
      <c r="F1686" s="6"/>
      <c r="G1686" s="7"/>
    </row>
    <row r="1687" spans="4:7" x14ac:dyDescent="0.2">
      <c r="D1687" s="6"/>
      <c r="E1687" s="6"/>
      <c r="F1687" s="6"/>
      <c r="G1687" s="7"/>
    </row>
    <row r="1688" spans="4:7" x14ac:dyDescent="0.2">
      <c r="D1688" s="6"/>
      <c r="E1688" s="6"/>
      <c r="F1688" s="6"/>
      <c r="G1688" s="7"/>
    </row>
    <row r="1689" spans="4:7" x14ac:dyDescent="0.2">
      <c r="D1689" s="6"/>
      <c r="E1689" s="6"/>
      <c r="F1689" s="6"/>
      <c r="G1689" s="7"/>
    </row>
    <row r="1690" spans="4:7" x14ac:dyDescent="0.2">
      <c r="D1690" s="6"/>
      <c r="E1690" s="6"/>
      <c r="F1690" s="6"/>
      <c r="G1690" s="7"/>
    </row>
    <row r="1691" spans="4:7" x14ac:dyDescent="0.2">
      <c r="D1691" s="6"/>
      <c r="E1691" s="6"/>
      <c r="F1691" s="6"/>
      <c r="G1691" s="7"/>
    </row>
    <row r="1692" spans="4:7" x14ac:dyDescent="0.2">
      <c r="D1692" s="6"/>
      <c r="E1692" s="6"/>
      <c r="F1692" s="6"/>
      <c r="G1692" s="7"/>
    </row>
    <row r="1693" spans="4:7" x14ac:dyDescent="0.2">
      <c r="D1693" s="6"/>
      <c r="E1693" s="6"/>
      <c r="F1693" s="6"/>
      <c r="G1693" s="7"/>
    </row>
    <row r="1694" spans="4:7" x14ac:dyDescent="0.2">
      <c r="D1694" s="6"/>
      <c r="E1694" s="6"/>
      <c r="F1694" s="6"/>
      <c r="G1694" s="7"/>
    </row>
    <row r="1695" spans="4:7" x14ac:dyDescent="0.2">
      <c r="D1695" s="6"/>
      <c r="E1695" s="6"/>
      <c r="F1695" s="6"/>
      <c r="G1695" s="7"/>
    </row>
    <row r="1696" spans="4:7" x14ac:dyDescent="0.2">
      <c r="D1696" s="6"/>
      <c r="E1696" s="6"/>
      <c r="F1696" s="6"/>
      <c r="G1696" s="7"/>
    </row>
    <row r="1697" spans="4:7" x14ac:dyDescent="0.2">
      <c r="D1697" s="6"/>
      <c r="E1697" s="6"/>
      <c r="F1697" s="6"/>
      <c r="G1697" s="7"/>
    </row>
    <row r="1698" spans="4:7" x14ac:dyDescent="0.2">
      <c r="D1698" s="6"/>
      <c r="E1698" s="6"/>
      <c r="F1698" s="6"/>
      <c r="G1698" s="7"/>
    </row>
    <row r="1699" spans="4:7" x14ac:dyDescent="0.2">
      <c r="D1699" s="6"/>
      <c r="E1699" s="6"/>
      <c r="F1699" s="6"/>
      <c r="G1699" s="7"/>
    </row>
    <row r="1700" spans="4:7" x14ac:dyDescent="0.2">
      <c r="D1700" s="6"/>
      <c r="E1700" s="6"/>
      <c r="F1700" s="6"/>
      <c r="G1700" s="7"/>
    </row>
    <row r="1701" spans="4:7" x14ac:dyDescent="0.2">
      <c r="D1701" s="6"/>
      <c r="E1701" s="6"/>
      <c r="F1701" s="6"/>
      <c r="G1701" s="7"/>
    </row>
    <row r="1702" spans="4:7" x14ac:dyDescent="0.2">
      <c r="D1702" s="6"/>
      <c r="E1702" s="6"/>
      <c r="F1702" s="6"/>
      <c r="G1702" s="7"/>
    </row>
    <row r="1703" spans="4:7" x14ac:dyDescent="0.2">
      <c r="D1703" s="6"/>
      <c r="E1703" s="6"/>
      <c r="F1703" s="6"/>
      <c r="G1703" s="7"/>
    </row>
    <row r="1704" spans="4:7" x14ac:dyDescent="0.2">
      <c r="D1704" s="6"/>
      <c r="E1704" s="6"/>
      <c r="F1704" s="6"/>
      <c r="G1704" s="7"/>
    </row>
    <row r="1705" spans="4:7" x14ac:dyDescent="0.2">
      <c r="D1705" s="6"/>
      <c r="E1705" s="6"/>
      <c r="F1705" s="6"/>
      <c r="G1705" s="7"/>
    </row>
    <row r="1706" spans="4:7" x14ac:dyDescent="0.2">
      <c r="D1706" s="6"/>
      <c r="E1706" s="6"/>
      <c r="F1706" s="6"/>
      <c r="G1706" s="7"/>
    </row>
    <row r="1707" spans="4:7" x14ac:dyDescent="0.2">
      <c r="D1707" s="6"/>
      <c r="E1707" s="6"/>
      <c r="F1707" s="6"/>
      <c r="G1707" s="7"/>
    </row>
    <row r="1708" spans="4:7" x14ac:dyDescent="0.2">
      <c r="D1708" s="6"/>
      <c r="E1708" s="6"/>
      <c r="F1708" s="6"/>
      <c r="G1708" s="7"/>
    </row>
    <row r="1709" spans="4:7" x14ac:dyDescent="0.2">
      <c r="D1709" s="6"/>
      <c r="E1709" s="6"/>
      <c r="F1709" s="6"/>
      <c r="G1709" s="7"/>
    </row>
    <row r="1710" spans="4:7" x14ac:dyDescent="0.2">
      <c r="D1710" s="6"/>
      <c r="E1710" s="6"/>
      <c r="F1710" s="6"/>
      <c r="G1710" s="7"/>
    </row>
    <row r="1711" spans="4:7" x14ac:dyDescent="0.2">
      <c r="D1711" s="6"/>
      <c r="E1711" s="6"/>
      <c r="F1711" s="6"/>
      <c r="G1711" s="7"/>
    </row>
    <row r="1712" spans="4:7" x14ac:dyDescent="0.2">
      <c r="D1712" s="6"/>
      <c r="E1712" s="6"/>
      <c r="F1712" s="6"/>
      <c r="G1712" s="7"/>
    </row>
    <row r="1713" spans="4:7" x14ac:dyDescent="0.2">
      <c r="D1713" s="6"/>
      <c r="E1713" s="6"/>
      <c r="F1713" s="6"/>
      <c r="G1713" s="7"/>
    </row>
    <row r="1714" spans="4:7" x14ac:dyDescent="0.2">
      <c r="D1714" s="6"/>
      <c r="E1714" s="6"/>
      <c r="F1714" s="6"/>
      <c r="G1714" s="7"/>
    </row>
    <row r="1715" spans="4:7" x14ac:dyDescent="0.2">
      <c r="D1715" s="6"/>
      <c r="E1715" s="6"/>
      <c r="F1715" s="6"/>
      <c r="G1715" s="7"/>
    </row>
    <row r="1716" spans="4:7" x14ac:dyDescent="0.2">
      <c r="D1716" s="6"/>
      <c r="E1716" s="6"/>
      <c r="F1716" s="6"/>
      <c r="G1716" s="7"/>
    </row>
    <row r="1717" spans="4:7" x14ac:dyDescent="0.2">
      <c r="D1717" s="6"/>
      <c r="E1717" s="6"/>
      <c r="F1717" s="6"/>
      <c r="G1717" s="7"/>
    </row>
    <row r="1718" spans="4:7" x14ac:dyDescent="0.2">
      <c r="D1718" s="6"/>
      <c r="E1718" s="6"/>
      <c r="F1718" s="6"/>
      <c r="G1718" s="7"/>
    </row>
    <row r="1719" spans="4:7" x14ac:dyDescent="0.2">
      <c r="D1719" s="6"/>
      <c r="E1719" s="6"/>
      <c r="F1719" s="6"/>
      <c r="G1719" s="7"/>
    </row>
    <row r="1720" spans="4:7" x14ac:dyDescent="0.2">
      <c r="D1720" s="6"/>
      <c r="E1720" s="6"/>
      <c r="F1720" s="6"/>
      <c r="G1720" s="7"/>
    </row>
    <row r="1721" spans="4:7" x14ac:dyDescent="0.2">
      <c r="D1721" s="6"/>
      <c r="E1721" s="6"/>
      <c r="F1721" s="6"/>
      <c r="G1721" s="7"/>
    </row>
    <row r="1722" spans="4:7" x14ac:dyDescent="0.2">
      <c r="D1722" s="6"/>
      <c r="E1722" s="6"/>
      <c r="F1722" s="6"/>
      <c r="G1722" s="7"/>
    </row>
    <row r="1723" spans="4:7" x14ac:dyDescent="0.2">
      <c r="D1723" s="6"/>
      <c r="E1723" s="6"/>
      <c r="F1723" s="6"/>
      <c r="G1723" s="7"/>
    </row>
    <row r="1724" spans="4:7" x14ac:dyDescent="0.2">
      <c r="D1724" s="6"/>
      <c r="E1724" s="6"/>
      <c r="F1724" s="6"/>
      <c r="G1724" s="7"/>
    </row>
    <row r="1725" spans="4:7" x14ac:dyDescent="0.2">
      <c r="D1725" s="6"/>
      <c r="E1725" s="6"/>
      <c r="F1725" s="6"/>
      <c r="G1725" s="7"/>
    </row>
    <row r="1726" spans="4:7" x14ac:dyDescent="0.2">
      <c r="D1726" s="6"/>
      <c r="E1726" s="6"/>
      <c r="F1726" s="6"/>
      <c r="G1726" s="7"/>
    </row>
    <row r="1727" spans="4:7" x14ac:dyDescent="0.2">
      <c r="D1727" s="6"/>
      <c r="E1727" s="6"/>
      <c r="F1727" s="6"/>
      <c r="G1727" s="7"/>
    </row>
    <row r="1728" spans="4:7" x14ac:dyDescent="0.2">
      <c r="D1728" s="6"/>
      <c r="E1728" s="6"/>
      <c r="F1728" s="6"/>
      <c r="G1728" s="7"/>
    </row>
    <row r="1729" spans="4:7" x14ac:dyDescent="0.2">
      <c r="D1729" s="6"/>
      <c r="E1729" s="6"/>
      <c r="F1729" s="6"/>
      <c r="G1729" s="7"/>
    </row>
    <row r="1730" spans="4:7" x14ac:dyDescent="0.2">
      <c r="D1730" s="6"/>
      <c r="E1730" s="6"/>
      <c r="F1730" s="6"/>
      <c r="G1730" s="7"/>
    </row>
    <row r="1731" spans="4:7" x14ac:dyDescent="0.2">
      <c r="D1731" s="6"/>
      <c r="E1731" s="6"/>
      <c r="F1731" s="6"/>
      <c r="G1731" s="7"/>
    </row>
    <row r="1732" spans="4:7" x14ac:dyDescent="0.2">
      <c r="D1732" s="6"/>
      <c r="E1732" s="6"/>
      <c r="F1732" s="6"/>
      <c r="G1732" s="7"/>
    </row>
    <row r="1733" spans="4:7" x14ac:dyDescent="0.2">
      <c r="D1733" s="6"/>
      <c r="E1733" s="6"/>
      <c r="F1733" s="6"/>
      <c r="G1733" s="7"/>
    </row>
    <row r="1734" spans="4:7" x14ac:dyDescent="0.2">
      <c r="D1734" s="6"/>
      <c r="E1734" s="6"/>
      <c r="F1734" s="6"/>
      <c r="G1734" s="7"/>
    </row>
    <row r="1735" spans="4:7" x14ac:dyDescent="0.2">
      <c r="D1735" s="6"/>
      <c r="E1735" s="6"/>
      <c r="F1735" s="6"/>
      <c r="G1735" s="7"/>
    </row>
    <row r="1736" spans="4:7" x14ac:dyDescent="0.2">
      <c r="D1736" s="6"/>
      <c r="E1736" s="6"/>
      <c r="F1736" s="6"/>
      <c r="G1736" s="7"/>
    </row>
    <row r="1737" spans="4:7" x14ac:dyDescent="0.2">
      <c r="D1737" s="6"/>
      <c r="E1737" s="6"/>
      <c r="F1737" s="6"/>
      <c r="G1737" s="7"/>
    </row>
    <row r="1738" spans="4:7" x14ac:dyDescent="0.2">
      <c r="D1738" s="6"/>
      <c r="E1738" s="6"/>
      <c r="F1738" s="6"/>
      <c r="G1738" s="7"/>
    </row>
    <row r="1739" spans="4:7" x14ac:dyDescent="0.2">
      <c r="D1739" s="6"/>
      <c r="E1739" s="6"/>
      <c r="F1739" s="6"/>
      <c r="G1739" s="7"/>
    </row>
    <row r="1740" spans="4:7" x14ac:dyDescent="0.2">
      <c r="D1740" s="6"/>
      <c r="E1740" s="6"/>
      <c r="F1740" s="6"/>
      <c r="G1740" s="7"/>
    </row>
    <row r="1741" spans="4:7" x14ac:dyDescent="0.2">
      <c r="D1741" s="6"/>
      <c r="E1741" s="6"/>
      <c r="F1741" s="6"/>
      <c r="G1741" s="7"/>
    </row>
    <row r="1742" spans="4:7" x14ac:dyDescent="0.2">
      <c r="D1742" s="6"/>
      <c r="E1742" s="6"/>
      <c r="F1742" s="6"/>
      <c r="G1742" s="7"/>
    </row>
    <row r="1743" spans="4:7" x14ac:dyDescent="0.2">
      <c r="D1743" s="6"/>
      <c r="E1743" s="6"/>
      <c r="F1743" s="6"/>
      <c r="G1743" s="7"/>
    </row>
    <row r="1744" spans="4:7" x14ac:dyDescent="0.2">
      <c r="D1744" s="6"/>
      <c r="E1744" s="6"/>
      <c r="F1744" s="6"/>
      <c r="G1744" s="7"/>
    </row>
    <row r="1745" spans="4:7" x14ac:dyDescent="0.2">
      <c r="D1745" s="6"/>
      <c r="E1745" s="6"/>
      <c r="F1745" s="6"/>
      <c r="G1745" s="7"/>
    </row>
    <row r="1746" spans="4:7" x14ac:dyDescent="0.2">
      <c r="D1746" s="6"/>
      <c r="E1746" s="6"/>
      <c r="F1746" s="6"/>
      <c r="G1746" s="7"/>
    </row>
    <row r="1747" spans="4:7" x14ac:dyDescent="0.2">
      <c r="D1747" s="6"/>
      <c r="E1747" s="6"/>
      <c r="F1747" s="6"/>
      <c r="G1747" s="7"/>
    </row>
    <row r="1748" spans="4:7" x14ac:dyDescent="0.2">
      <c r="D1748" s="6"/>
      <c r="E1748" s="6"/>
      <c r="F1748" s="6"/>
      <c r="G1748" s="7"/>
    </row>
    <row r="1749" spans="4:7" x14ac:dyDescent="0.2">
      <c r="D1749" s="6"/>
      <c r="E1749" s="6"/>
      <c r="F1749" s="6"/>
      <c r="G1749" s="7"/>
    </row>
    <row r="1750" spans="4:7" x14ac:dyDescent="0.2">
      <c r="D1750" s="6"/>
      <c r="E1750" s="6"/>
      <c r="F1750" s="6"/>
      <c r="G1750" s="7"/>
    </row>
    <row r="1751" spans="4:7" x14ac:dyDescent="0.2">
      <c r="D1751" s="6"/>
      <c r="E1751" s="6"/>
      <c r="F1751" s="6"/>
      <c r="G1751" s="7"/>
    </row>
    <row r="1752" spans="4:7" x14ac:dyDescent="0.2">
      <c r="D1752" s="6"/>
      <c r="E1752" s="6"/>
      <c r="F1752" s="6"/>
      <c r="G1752" s="7"/>
    </row>
    <row r="1753" spans="4:7" x14ac:dyDescent="0.2">
      <c r="D1753" s="6"/>
      <c r="E1753" s="6"/>
      <c r="F1753" s="6"/>
      <c r="G1753" s="7"/>
    </row>
    <row r="1754" spans="4:7" x14ac:dyDescent="0.2">
      <c r="D1754" s="6"/>
      <c r="E1754" s="6"/>
      <c r="F1754" s="6"/>
      <c r="G1754" s="7"/>
    </row>
    <row r="1755" spans="4:7" x14ac:dyDescent="0.2">
      <c r="D1755" s="6"/>
      <c r="E1755" s="6"/>
      <c r="F1755" s="6"/>
      <c r="G1755" s="7"/>
    </row>
    <row r="1756" spans="4:7" x14ac:dyDescent="0.2">
      <c r="D1756" s="6"/>
      <c r="E1756" s="6"/>
      <c r="F1756" s="6"/>
      <c r="G1756" s="7"/>
    </row>
    <row r="1757" spans="4:7" x14ac:dyDescent="0.2">
      <c r="D1757" s="6"/>
      <c r="E1757" s="6"/>
      <c r="F1757" s="6"/>
      <c r="G1757" s="7"/>
    </row>
    <row r="1758" spans="4:7" x14ac:dyDescent="0.2">
      <c r="D1758" s="6"/>
      <c r="E1758" s="6"/>
      <c r="F1758" s="6"/>
      <c r="G1758" s="7"/>
    </row>
    <row r="1759" spans="4:7" x14ac:dyDescent="0.2">
      <c r="D1759" s="6"/>
      <c r="E1759" s="6"/>
      <c r="F1759" s="6"/>
      <c r="G1759" s="7"/>
    </row>
    <row r="1760" spans="4:7" x14ac:dyDescent="0.2">
      <c r="D1760" s="6"/>
      <c r="E1760" s="6"/>
      <c r="F1760" s="6"/>
      <c r="G1760" s="7"/>
    </row>
    <row r="1761" spans="4:7" x14ac:dyDescent="0.2">
      <c r="D1761" s="6"/>
      <c r="E1761" s="6"/>
      <c r="F1761" s="6"/>
      <c r="G1761" s="7"/>
    </row>
    <row r="1762" spans="4:7" x14ac:dyDescent="0.2">
      <c r="D1762" s="6"/>
      <c r="E1762" s="6"/>
      <c r="F1762" s="6"/>
      <c r="G1762" s="7"/>
    </row>
    <row r="1763" spans="4:7" x14ac:dyDescent="0.2">
      <c r="D1763" s="6"/>
      <c r="E1763" s="6"/>
      <c r="F1763" s="6"/>
      <c r="G1763" s="7"/>
    </row>
    <row r="1764" spans="4:7" x14ac:dyDescent="0.2">
      <c r="D1764" s="6"/>
      <c r="E1764" s="6"/>
      <c r="F1764" s="6"/>
      <c r="G1764" s="7"/>
    </row>
    <row r="1765" spans="4:7" x14ac:dyDescent="0.2">
      <c r="D1765" s="6"/>
      <c r="E1765" s="6"/>
      <c r="F1765" s="6"/>
      <c r="G1765" s="7"/>
    </row>
    <row r="1766" spans="4:7" x14ac:dyDescent="0.2">
      <c r="D1766" s="6"/>
      <c r="E1766" s="6"/>
      <c r="F1766" s="6"/>
      <c r="G1766" s="7"/>
    </row>
    <row r="1767" spans="4:7" x14ac:dyDescent="0.2">
      <c r="D1767" s="6"/>
      <c r="E1767" s="6"/>
      <c r="F1767" s="6"/>
      <c r="G1767" s="7"/>
    </row>
    <row r="1768" spans="4:7" x14ac:dyDescent="0.2">
      <c r="D1768" s="6"/>
      <c r="E1768" s="6"/>
      <c r="F1768" s="6"/>
      <c r="G1768" s="7"/>
    </row>
    <row r="1769" spans="4:7" x14ac:dyDescent="0.2">
      <c r="D1769" s="6"/>
      <c r="E1769" s="6"/>
      <c r="F1769" s="6"/>
      <c r="G1769" s="7"/>
    </row>
    <row r="1770" spans="4:7" x14ac:dyDescent="0.2">
      <c r="D1770" s="6"/>
      <c r="E1770" s="6"/>
      <c r="F1770" s="6"/>
      <c r="G1770" s="7"/>
    </row>
    <row r="1771" spans="4:7" x14ac:dyDescent="0.2">
      <c r="D1771" s="6"/>
      <c r="E1771" s="6"/>
      <c r="F1771" s="6"/>
      <c r="G1771" s="7"/>
    </row>
    <row r="1772" spans="4:7" x14ac:dyDescent="0.2">
      <c r="D1772" s="6"/>
      <c r="E1772" s="6"/>
      <c r="F1772" s="6"/>
      <c r="G1772" s="7"/>
    </row>
    <row r="1773" spans="4:7" x14ac:dyDescent="0.2">
      <c r="D1773" s="6"/>
      <c r="E1773" s="6"/>
      <c r="F1773" s="6"/>
      <c r="G1773" s="7"/>
    </row>
    <row r="1774" spans="4:7" x14ac:dyDescent="0.2">
      <c r="D1774" s="6"/>
      <c r="E1774" s="6"/>
      <c r="F1774" s="6"/>
      <c r="G1774" s="7"/>
    </row>
    <row r="1775" spans="4:7" x14ac:dyDescent="0.2">
      <c r="D1775" s="6"/>
      <c r="E1775" s="6"/>
      <c r="F1775" s="6"/>
      <c r="G1775" s="7"/>
    </row>
    <row r="1776" spans="4:7" x14ac:dyDescent="0.2">
      <c r="D1776" s="6"/>
      <c r="E1776" s="6"/>
      <c r="F1776" s="6"/>
      <c r="G1776" s="7"/>
    </row>
    <row r="1777" spans="4:7" x14ac:dyDescent="0.2">
      <c r="D1777" s="6"/>
      <c r="E1777" s="6"/>
      <c r="F1777" s="6"/>
      <c r="G1777" s="7"/>
    </row>
    <row r="1778" spans="4:7" x14ac:dyDescent="0.2">
      <c r="D1778" s="6"/>
      <c r="E1778" s="6"/>
      <c r="F1778" s="6"/>
      <c r="G1778" s="7"/>
    </row>
    <row r="1779" spans="4:7" x14ac:dyDescent="0.2">
      <c r="D1779" s="6"/>
      <c r="E1779" s="6"/>
      <c r="F1779" s="6"/>
      <c r="G1779" s="7"/>
    </row>
    <row r="1780" spans="4:7" x14ac:dyDescent="0.2">
      <c r="D1780" s="6"/>
      <c r="E1780" s="6"/>
      <c r="F1780" s="6"/>
      <c r="G1780" s="7"/>
    </row>
    <row r="1781" spans="4:7" x14ac:dyDescent="0.2">
      <c r="D1781" s="6"/>
      <c r="E1781" s="6"/>
      <c r="F1781" s="6"/>
      <c r="G1781" s="7"/>
    </row>
    <row r="1782" spans="4:7" x14ac:dyDescent="0.2">
      <c r="D1782" s="6"/>
      <c r="E1782" s="6"/>
      <c r="F1782" s="6"/>
      <c r="G1782" s="7"/>
    </row>
    <row r="1783" spans="4:7" x14ac:dyDescent="0.2">
      <c r="D1783" s="6"/>
      <c r="E1783" s="6"/>
      <c r="F1783" s="6"/>
      <c r="G1783" s="7"/>
    </row>
    <row r="1784" spans="4:7" x14ac:dyDescent="0.2">
      <c r="D1784" s="6"/>
      <c r="E1784" s="6"/>
      <c r="F1784" s="6"/>
      <c r="G1784" s="7"/>
    </row>
    <row r="1785" spans="4:7" x14ac:dyDescent="0.2">
      <c r="D1785" s="6"/>
      <c r="E1785" s="6"/>
      <c r="F1785" s="6"/>
      <c r="G1785" s="7"/>
    </row>
    <row r="1786" spans="4:7" x14ac:dyDescent="0.2">
      <c r="D1786" s="6"/>
      <c r="E1786" s="6"/>
      <c r="F1786" s="6"/>
      <c r="G1786" s="7"/>
    </row>
    <row r="1787" spans="4:7" x14ac:dyDescent="0.2">
      <c r="D1787" s="6"/>
      <c r="E1787" s="6"/>
      <c r="F1787" s="6"/>
      <c r="G1787" s="7"/>
    </row>
    <row r="1788" spans="4:7" x14ac:dyDescent="0.2">
      <c r="D1788" s="6"/>
      <c r="E1788" s="6"/>
      <c r="F1788" s="6"/>
      <c r="G1788" s="7"/>
    </row>
    <row r="1789" spans="4:7" x14ac:dyDescent="0.2">
      <c r="D1789" s="6"/>
      <c r="E1789" s="6"/>
      <c r="F1789" s="6"/>
      <c r="G1789" s="7"/>
    </row>
    <row r="1790" spans="4:7" x14ac:dyDescent="0.2">
      <c r="D1790" s="6"/>
      <c r="E1790" s="6"/>
      <c r="F1790" s="6"/>
      <c r="G1790" s="7"/>
    </row>
    <row r="1791" spans="4:7" x14ac:dyDescent="0.2">
      <c r="D1791" s="6"/>
      <c r="E1791" s="6"/>
      <c r="F1791" s="6"/>
      <c r="G1791" s="7"/>
    </row>
    <row r="1792" spans="4:7" x14ac:dyDescent="0.2">
      <c r="D1792" s="6"/>
      <c r="E1792" s="6"/>
      <c r="F1792" s="6"/>
      <c r="G1792" s="7"/>
    </row>
    <row r="1793" spans="4:7" x14ac:dyDescent="0.2">
      <c r="D1793" s="6"/>
      <c r="E1793" s="6"/>
      <c r="F1793" s="6"/>
      <c r="G1793" s="7"/>
    </row>
    <row r="1794" spans="4:7" x14ac:dyDescent="0.2">
      <c r="D1794" s="6"/>
      <c r="E1794" s="6"/>
      <c r="F1794" s="6"/>
      <c r="G1794" s="7"/>
    </row>
    <row r="1795" spans="4:7" x14ac:dyDescent="0.2">
      <c r="D1795" s="6"/>
      <c r="E1795" s="6"/>
      <c r="F1795" s="6"/>
      <c r="G1795" s="7"/>
    </row>
    <row r="1796" spans="4:7" x14ac:dyDescent="0.2">
      <c r="D1796" s="6"/>
      <c r="E1796" s="6"/>
      <c r="F1796" s="6"/>
      <c r="G1796" s="7"/>
    </row>
    <row r="1797" spans="4:7" x14ac:dyDescent="0.2">
      <c r="D1797" s="6"/>
      <c r="E1797" s="6"/>
      <c r="F1797" s="6"/>
      <c r="G1797" s="7"/>
    </row>
    <row r="1798" spans="4:7" x14ac:dyDescent="0.2">
      <c r="D1798" s="6"/>
      <c r="E1798" s="6"/>
      <c r="F1798" s="6"/>
      <c r="G1798" s="7"/>
    </row>
    <row r="1799" spans="4:7" x14ac:dyDescent="0.2">
      <c r="D1799" s="6"/>
      <c r="E1799" s="6"/>
      <c r="F1799" s="6"/>
      <c r="G1799" s="7"/>
    </row>
    <row r="1800" spans="4:7" x14ac:dyDescent="0.2">
      <c r="D1800" s="6"/>
      <c r="E1800" s="6"/>
      <c r="F1800" s="6"/>
      <c r="G1800" s="7"/>
    </row>
    <row r="1801" spans="4:7" x14ac:dyDescent="0.2">
      <c r="D1801" s="6"/>
      <c r="E1801" s="6"/>
      <c r="F1801" s="6"/>
      <c r="G1801" s="7"/>
    </row>
    <row r="1802" spans="4:7" x14ac:dyDescent="0.2">
      <c r="D1802" s="6"/>
      <c r="E1802" s="6"/>
      <c r="F1802" s="6"/>
      <c r="G1802" s="7"/>
    </row>
    <row r="1803" spans="4:7" x14ac:dyDescent="0.2">
      <c r="D1803" s="6"/>
      <c r="E1803" s="6"/>
      <c r="F1803" s="6"/>
      <c r="G1803" s="7"/>
    </row>
    <row r="1804" spans="4:7" x14ac:dyDescent="0.2">
      <c r="D1804" s="6"/>
      <c r="E1804" s="6"/>
      <c r="F1804" s="6"/>
      <c r="G1804" s="7"/>
    </row>
    <row r="1805" spans="4:7" x14ac:dyDescent="0.2">
      <c r="D1805" s="6"/>
      <c r="E1805" s="6"/>
      <c r="F1805" s="6"/>
      <c r="G1805" s="7"/>
    </row>
    <row r="1806" spans="4:7" x14ac:dyDescent="0.2">
      <c r="D1806" s="6"/>
      <c r="E1806" s="6"/>
      <c r="F1806" s="6"/>
      <c r="G1806" s="7"/>
    </row>
    <row r="1807" spans="4:7" x14ac:dyDescent="0.2">
      <c r="D1807" s="6"/>
      <c r="E1807" s="6"/>
      <c r="F1807" s="6"/>
      <c r="G1807" s="7"/>
    </row>
    <row r="1808" spans="4:7" x14ac:dyDescent="0.2">
      <c r="D1808" s="6"/>
      <c r="E1808" s="6"/>
      <c r="F1808" s="6"/>
      <c r="G1808" s="7"/>
    </row>
    <row r="1809" spans="4:7" x14ac:dyDescent="0.2">
      <c r="D1809" s="6"/>
      <c r="E1809" s="6"/>
      <c r="F1809" s="6"/>
      <c r="G1809" s="7"/>
    </row>
    <row r="1810" spans="4:7" x14ac:dyDescent="0.2">
      <c r="D1810" s="6"/>
      <c r="E1810" s="6"/>
      <c r="F1810" s="6"/>
      <c r="G1810" s="7"/>
    </row>
    <row r="1811" spans="4:7" x14ac:dyDescent="0.2">
      <c r="D1811" s="6"/>
      <c r="E1811" s="6"/>
      <c r="F1811" s="6"/>
      <c r="G1811" s="7"/>
    </row>
    <row r="1812" spans="4:7" x14ac:dyDescent="0.2">
      <c r="D1812" s="6"/>
      <c r="E1812" s="6"/>
      <c r="F1812" s="6"/>
      <c r="G1812" s="7"/>
    </row>
    <row r="1813" spans="4:7" x14ac:dyDescent="0.2">
      <c r="D1813" s="6"/>
      <c r="E1813" s="6"/>
      <c r="F1813" s="6"/>
      <c r="G1813" s="7"/>
    </row>
    <row r="1814" spans="4:7" x14ac:dyDescent="0.2">
      <c r="D1814" s="6"/>
      <c r="E1814" s="6"/>
      <c r="F1814" s="6"/>
      <c r="G1814" s="7"/>
    </row>
    <row r="1815" spans="4:7" x14ac:dyDescent="0.2">
      <c r="D1815" s="6"/>
      <c r="E1815" s="6"/>
      <c r="F1815" s="6"/>
      <c r="G1815" s="7"/>
    </row>
    <row r="1816" spans="4:7" x14ac:dyDescent="0.2">
      <c r="D1816" s="6"/>
      <c r="E1816" s="6"/>
      <c r="F1816" s="6"/>
      <c r="G1816" s="7"/>
    </row>
    <row r="1817" spans="4:7" x14ac:dyDescent="0.2">
      <c r="D1817" s="6"/>
      <c r="E1817" s="6"/>
      <c r="F1817" s="6"/>
      <c r="G1817" s="7"/>
    </row>
    <row r="1818" spans="4:7" x14ac:dyDescent="0.2">
      <c r="D1818" s="6"/>
      <c r="E1818" s="6"/>
      <c r="F1818" s="6"/>
      <c r="G1818" s="7"/>
    </row>
    <row r="1819" spans="4:7" x14ac:dyDescent="0.2">
      <c r="D1819" s="6"/>
      <c r="E1819" s="6"/>
      <c r="F1819" s="6"/>
      <c r="G1819" s="7"/>
    </row>
    <row r="1820" spans="4:7" x14ac:dyDescent="0.2">
      <c r="D1820" s="6"/>
      <c r="E1820" s="6"/>
      <c r="F1820" s="6"/>
      <c r="G1820" s="7"/>
    </row>
    <row r="1821" spans="4:7" x14ac:dyDescent="0.2">
      <c r="D1821" s="6"/>
      <c r="E1821" s="6"/>
      <c r="F1821" s="6"/>
      <c r="G1821" s="7"/>
    </row>
    <row r="1822" spans="4:7" x14ac:dyDescent="0.2">
      <c r="D1822" s="6"/>
      <c r="E1822" s="6"/>
      <c r="F1822" s="6"/>
      <c r="G1822" s="7"/>
    </row>
    <row r="1823" spans="4:7" x14ac:dyDescent="0.2">
      <c r="D1823" s="6"/>
      <c r="E1823" s="6"/>
      <c r="F1823" s="6"/>
      <c r="G1823" s="7"/>
    </row>
    <row r="1824" spans="4:7" x14ac:dyDescent="0.2">
      <c r="D1824" s="6"/>
      <c r="E1824" s="6"/>
      <c r="F1824" s="6"/>
      <c r="G1824" s="7"/>
    </row>
    <row r="1825" spans="4:7" x14ac:dyDescent="0.2">
      <c r="D1825" s="6"/>
      <c r="E1825" s="6"/>
      <c r="F1825" s="6"/>
      <c r="G1825" s="7"/>
    </row>
    <row r="1826" spans="4:7" x14ac:dyDescent="0.2">
      <c r="D1826" s="6"/>
      <c r="E1826" s="6"/>
      <c r="F1826" s="6"/>
      <c r="G1826" s="7"/>
    </row>
    <row r="1827" spans="4:7" x14ac:dyDescent="0.2">
      <c r="D1827" s="6"/>
      <c r="E1827" s="6"/>
      <c r="F1827" s="6"/>
      <c r="G1827" s="7"/>
    </row>
    <row r="1828" spans="4:7" x14ac:dyDescent="0.2">
      <c r="D1828" s="6"/>
      <c r="E1828" s="6"/>
      <c r="F1828" s="6"/>
      <c r="G1828" s="7"/>
    </row>
    <row r="1829" spans="4:7" x14ac:dyDescent="0.2">
      <c r="D1829" s="6"/>
      <c r="E1829" s="6"/>
      <c r="F1829" s="6"/>
      <c r="G1829" s="7"/>
    </row>
    <row r="1830" spans="4:7" x14ac:dyDescent="0.2">
      <c r="D1830" s="6"/>
      <c r="E1830" s="6"/>
      <c r="F1830" s="6"/>
      <c r="G1830" s="7"/>
    </row>
    <row r="1831" spans="4:7" x14ac:dyDescent="0.2">
      <c r="D1831" s="6"/>
      <c r="E1831" s="6"/>
      <c r="F1831" s="6"/>
      <c r="G1831" s="7"/>
    </row>
    <row r="1832" spans="4:7" x14ac:dyDescent="0.2">
      <c r="D1832" s="6"/>
      <c r="E1832" s="6"/>
      <c r="F1832" s="6"/>
      <c r="G1832" s="7"/>
    </row>
    <row r="1833" spans="4:7" x14ac:dyDescent="0.2">
      <c r="D1833" s="6"/>
      <c r="E1833" s="6"/>
      <c r="F1833" s="6"/>
      <c r="G1833" s="7"/>
    </row>
    <row r="1834" spans="4:7" x14ac:dyDescent="0.2">
      <c r="D1834" s="6"/>
      <c r="E1834" s="6"/>
      <c r="F1834" s="6"/>
      <c r="G1834" s="7"/>
    </row>
    <row r="1835" spans="4:7" x14ac:dyDescent="0.2">
      <c r="D1835" s="6"/>
      <c r="E1835" s="6"/>
      <c r="F1835" s="6"/>
      <c r="G1835" s="7"/>
    </row>
    <row r="1836" spans="4:7" x14ac:dyDescent="0.2">
      <c r="D1836" s="6"/>
      <c r="E1836" s="6"/>
      <c r="F1836" s="6"/>
      <c r="G1836" s="7"/>
    </row>
    <row r="1837" spans="4:7" x14ac:dyDescent="0.2">
      <c r="D1837" s="6"/>
      <c r="E1837" s="6"/>
      <c r="F1837" s="6"/>
      <c r="G1837" s="7"/>
    </row>
    <row r="1838" spans="4:7" x14ac:dyDescent="0.2">
      <c r="D1838" s="6"/>
      <c r="E1838" s="6"/>
      <c r="F1838" s="6"/>
      <c r="G1838" s="7"/>
    </row>
    <row r="1839" spans="4:7" x14ac:dyDescent="0.2">
      <c r="D1839" s="6"/>
      <c r="E1839" s="6"/>
      <c r="F1839" s="6"/>
      <c r="G1839" s="7"/>
    </row>
    <row r="1840" spans="4:7" x14ac:dyDescent="0.2">
      <c r="D1840" s="6"/>
      <c r="E1840" s="6"/>
      <c r="F1840" s="6"/>
      <c r="G1840" s="7"/>
    </row>
    <row r="1841" spans="4:7" x14ac:dyDescent="0.2">
      <c r="D1841" s="6"/>
      <c r="E1841" s="6"/>
      <c r="F1841" s="6"/>
      <c r="G1841" s="7"/>
    </row>
    <row r="1842" spans="4:7" x14ac:dyDescent="0.2">
      <c r="D1842" s="6"/>
      <c r="E1842" s="6"/>
      <c r="F1842" s="6"/>
      <c r="G1842" s="7"/>
    </row>
    <row r="1843" spans="4:7" x14ac:dyDescent="0.2">
      <c r="D1843" s="6"/>
      <c r="E1843" s="6"/>
      <c r="F1843" s="6"/>
      <c r="G1843" s="7"/>
    </row>
    <row r="1844" spans="4:7" x14ac:dyDescent="0.2">
      <c r="D1844" s="6"/>
      <c r="E1844" s="6"/>
      <c r="F1844" s="6"/>
      <c r="G1844" s="7"/>
    </row>
    <row r="1845" spans="4:7" x14ac:dyDescent="0.2">
      <c r="D1845" s="6"/>
      <c r="E1845" s="6"/>
      <c r="F1845" s="6"/>
      <c r="G1845" s="7"/>
    </row>
    <row r="1846" spans="4:7" x14ac:dyDescent="0.2">
      <c r="D1846" s="6"/>
      <c r="E1846" s="6"/>
      <c r="F1846" s="6"/>
      <c r="G1846" s="7"/>
    </row>
    <row r="1847" spans="4:7" x14ac:dyDescent="0.2">
      <c r="D1847" s="6"/>
      <c r="E1847" s="6"/>
      <c r="F1847" s="6"/>
      <c r="G1847" s="7"/>
    </row>
    <row r="1848" spans="4:7" x14ac:dyDescent="0.2">
      <c r="D1848" s="6"/>
      <c r="E1848" s="6"/>
      <c r="F1848" s="6"/>
      <c r="G1848" s="7"/>
    </row>
    <row r="1849" spans="4:7" x14ac:dyDescent="0.2">
      <c r="D1849" s="6"/>
      <c r="E1849" s="6"/>
      <c r="F1849" s="6"/>
      <c r="G1849" s="7"/>
    </row>
    <row r="1850" spans="4:7" x14ac:dyDescent="0.2">
      <c r="D1850" s="6"/>
      <c r="E1850" s="6"/>
      <c r="F1850" s="6"/>
      <c r="G1850" s="7"/>
    </row>
    <row r="1851" spans="4:7" x14ac:dyDescent="0.2">
      <c r="D1851" s="6"/>
      <c r="E1851" s="6"/>
      <c r="F1851" s="6"/>
      <c r="G1851" s="7"/>
    </row>
    <row r="1852" spans="4:7" x14ac:dyDescent="0.2">
      <c r="D1852" s="6"/>
      <c r="E1852" s="6"/>
      <c r="F1852" s="6"/>
      <c r="G1852" s="7"/>
    </row>
    <row r="1853" spans="4:7" x14ac:dyDescent="0.2">
      <c r="D1853" s="6"/>
      <c r="E1853" s="6"/>
      <c r="F1853" s="6"/>
      <c r="G1853" s="7"/>
    </row>
    <row r="1854" spans="4:7" x14ac:dyDescent="0.2">
      <c r="D1854" s="6"/>
      <c r="E1854" s="6"/>
      <c r="F1854" s="6"/>
      <c r="G1854" s="7"/>
    </row>
    <row r="1855" spans="4:7" x14ac:dyDescent="0.2">
      <c r="D1855" s="6"/>
      <c r="E1855" s="6"/>
      <c r="F1855" s="6"/>
      <c r="G1855" s="7"/>
    </row>
    <row r="1856" spans="4:7" x14ac:dyDescent="0.2">
      <c r="D1856" s="6"/>
      <c r="E1856" s="6"/>
      <c r="F1856" s="6"/>
      <c r="G1856" s="7"/>
    </row>
    <row r="1857" spans="4:7" x14ac:dyDescent="0.2">
      <c r="D1857" s="6"/>
      <c r="E1857" s="6"/>
      <c r="F1857" s="6"/>
      <c r="G1857" s="7"/>
    </row>
    <row r="1858" spans="4:7" x14ac:dyDescent="0.2">
      <c r="D1858" s="6"/>
      <c r="E1858" s="6"/>
      <c r="F1858" s="6"/>
      <c r="G1858" s="7"/>
    </row>
    <row r="1859" spans="4:7" x14ac:dyDescent="0.2">
      <c r="D1859" s="6"/>
      <c r="E1859" s="6"/>
      <c r="F1859" s="6"/>
      <c r="G1859" s="7"/>
    </row>
    <row r="1860" spans="4:7" x14ac:dyDescent="0.2">
      <c r="D1860" s="6"/>
      <c r="E1860" s="6"/>
      <c r="F1860" s="6"/>
      <c r="G1860" s="7"/>
    </row>
    <row r="1861" spans="4:7" x14ac:dyDescent="0.2">
      <c r="D1861" s="6"/>
      <c r="E1861" s="6"/>
      <c r="F1861" s="6"/>
      <c r="G1861" s="7"/>
    </row>
    <row r="1862" spans="4:7" x14ac:dyDescent="0.2">
      <c r="D1862" s="6"/>
      <c r="E1862" s="6"/>
      <c r="F1862" s="6"/>
      <c r="G1862" s="7"/>
    </row>
    <row r="1863" spans="4:7" x14ac:dyDescent="0.2">
      <c r="D1863" s="6"/>
      <c r="E1863" s="6"/>
      <c r="F1863" s="6"/>
      <c r="G1863" s="7"/>
    </row>
    <row r="1864" spans="4:7" x14ac:dyDescent="0.2">
      <c r="D1864" s="6"/>
      <c r="E1864" s="6"/>
      <c r="F1864" s="6"/>
      <c r="G1864" s="7"/>
    </row>
    <row r="1865" spans="4:7" x14ac:dyDescent="0.2">
      <c r="D1865" s="6"/>
      <c r="E1865" s="6"/>
      <c r="F1865" s="6"/>
      <c r="G1865" s="7"/>
    </row>
    <row r="1866" spans="4:7" x14ac:dyDescent="0.2">
      <c r="D1866" s="6"/>
      <c r="E1866" s="6"/>
      <c r="F1866" s="6"/>
      <c r="G1866" s="7"/>
    </row>
    <row r="1867" spans="4:7" x14ac:dyDescent="0.2">
      <c r="D1867" s="6"/>
      <c r="E1867" s="6"/>
      <c r="F1867" s="6"/>
      <c r="G1867" s="7"/>
    </row>
    <row r="1868" spans="4:7" x14ac:dyDescent="0.2">
      <c r="D1868" s="6"/>
      <c r="E1868" s="6"/>
      <c r="F1868" s="6"/>
      <c r="G1868" s="7"/>
    </row>
    <row r="1869" spans="4:7" x14ac:dyDescent="0.2">
      <c r="D1869" s="6"/>
      <c r="E1869" s="6"/>
      <c r="F1869" s="6"/>
      <c r="G1869" s="7"/>
    </row>
    <row r="1870" spans="4:7" x14ac:dyDescent="0.2">
      <c r="D1870" s="6"/>
      <c r="E1870" s="6"/>
      <c r="F1870" s="6"/>
      <c r="G1870" s="7"/>
    </row>
    <row r="1871" spans="4:7" x14ac:dyDescent="0.2">
      <c r="D1871" s="6"/>
      <c r="E1871" s="6"/>
      <c r="F1871" s="6"/>
      <c r="G1871" s="7"/>
    </row>
    <row r="1872" spans="4:7" x14ac:dyDescent="0.2">
      <c r="D1872" s="6"/>
      <c r="E1872" s="6"/>
      <c r="F1872" s="6"/>
      <c r="G1872" s="7"/>
    </row>
    <row r="1873" spans="4:7" x14ac:dyDescent="0.2">
      <c r="D1873" s="6"/>
      <c r="E1873" s="6"/>
      <c r="F1873" s="6"/>
      <c r="G1873" s="7"/>
    </row>
    <row r="1874" spans="4:7" x14ac:dyDescent="0.2">
      <c r="D1874" s="6"/>
      <c r="E1874" s="6"/>
      <c r="F1874" s="6"/>
      <c r="G1874" s="7"/>
    </row>
    <row r="1875" spans="4:7" x14ac:dyDescent="0.2">
      <c r="D1875" s="6"/>
      <c r="E1875" s="6"/>
      <c r="F1875" s="6"/>
      <c r="G1875" s="7"/>
    </row>
    <row r="1876" spans="4:7" x14ac:dyDescent="0.2">
      <c r="D1876" s="6"/>
      <c r="E1876" s="6"/>
      <c r="F1876" s="6"/>
      <c r="G1876" s="7"/>
    </row>
    <row r="1877" spans="4:7" x14ac:dyDescent="0.2">
      <c r="D1877" s="6"/>
      <c r="E1877" s="6"/>
      <c r="F1877" s="6"/>
      <c r="G1877" s="7"/>
    </row>
    <row r="1878" spans="4:7" x14ac:dyDescent="0.2">
      <c r="D1878" s="6"/>
      <c r="E1878" s="6"/>
      <c r="F1878" s="6"/>
      <c r="G1878" s="7"/>
    </row>
    <row r="1879" spans="4:7" x14ac:dyDescent="0.2">
      <c r="D1879" s="6"/>
      <c r="E1879" s="6"/>
      <c r="F1879" s="6"/>
      <c r="G1879" s="7"/>
    </row>
    <row r="1880" spans="4:7" x14ac:dyDescent="0.2">
      <c r="D1880" s="6"/>
      <c r="E1880" s="6"/>
      <c r="F1880" s="6"/>
      <c r="G1880" s="7"/>
    </row>
    <row r="1881" spans="4:7" x14ac:dyDescent="0.2">
      <c r="D1881" s="6"/>
      <c r="E1881" s="6"/>
      <c r="F1881" s="6"/>
      <c r="G1881" s="7"/>
    </row>
    <row r="1882" spans="4:7" x14ac:dyDescent="0.2">
      <c r="D1882" s="6"/>
      <c r="E1882" s="6"/>
      <c r="F1882" s="6"/>
      <c r="G1882" s="7"/>
    </row>
    <row r="1883" spans="4:7" x14ac:dyDescent="0.2">
      <c r="D1883" s="6"/>
      <c r="E1883" s="6"/>
      <c r="F1883" s="6"/>
      <c r="G1883" s="7"/>
    </row>
    <row r="1884" spans="4:7" x14ac:dyDescent="0.2">
      <c r="D1884" s="6"/>
      <c r="E1884" s="6"/>
      <c r="F1884" s="6"/>
      <c r="G1884" s="7"/>
    </row>
    <row r="1885" spans="4:7" x14ac:dyDescent="0.2">
      <c r="D1885" s="6"/>
      <c r="E1885" s="6"/>
      <c r="F1885" s="6"/>
      <c r="G1885" s="7"/>
    </row>
    <row r="1886" spans="4:7" x14ac:dyDescent="0.2">
      <c r="D1886" s="6"/>
      <c r="E1886" s="6"/>
      <c r="F1886" s="6"/>
      <c r="G1886" s="7"/>
    </row>
    <row r="1887" spans="4:7" x14ac:dyDescent="0.2">
      <c r="D1887" s="6"/>
      <c r="E1887" s="6"/>
      <c r="F1887" s="6"/>
      <c r="G1887" s="7"/>
    </row>
    <row r="1888" spans="4:7" x14ac:dyDescent="0.2">
      <c r="D1888" s="6"/>
      <c r="E1888" s="6"/>
      <c r="F1888" s="6"/>
      <c r="G1888" s="7"/>
    </row>
    <row r="1889" spans="4:7" x14ac:dyDescent="0.2">
      <c r="D1889" s="6"/>
      <c r="E1889" s="6"/>
      <c r="F1889" s="6"/>
      <c r="G1889" s="7"/>
    </row>
    <row r="1890" spans="4:7" x14ac:dyDescent="0.2">
      <c r="D1890" s="6"/>
      <c r="E1890" s="6"/>
      <c r="F1890" s="6"/>
      <c r="G1890" s="7"/>
    </row>
    <row r="1891" spans="4:7" x14ac:dyDescent="0.2">
      <c r="D1891" s="6"/>
      <c r="E1891" s="6"/>
      <c r="F1891" s="6"/>
      <c r="G1891" s="7"/>
    </row>
    <row r="1892" spans="4:7" x14ac:dyDescent="0.2">
      <c r="D1892" s="6"/>
      <c r="E1892" s="6"/>
      <c r="F1892" s="6"/>
      <c r="G1892" s="7"/>
    </row>
    <row r="1893" spans="4:7" x14ac:dyDescent="0.2">
      <c r="D1893" s="6"/>
      <c r="E1893" s="6"/>
      <c r="F1893" s="6"/>
      <c r="G1893" s="7"/>
    </row>
    <row r="1894" spans="4:7" x14ac:dyDescent="0.2">
      <c r="D1894" s="6"/>
      <c r="E1894" s="6"/>
      <c r="F1894" s="6"/>
      <c r="G1894" s="7"/>
    </row>
    <row r="1895" spans="4:7" x14ac:dyDescent="0.2">
      <c r="D1895" s="6"/>
      <c r="E1895" s="6"/>
      <c r="F1895" s="6"/>
      <c r="G1895" s="7"/>
    </row>
    <row r="1896" spans="4:7" x14ac:dyDescent="0.2">
      <c r="D1896" s="6"/>
      <c r="E1896" s="6"/>
      <c r="F1896" s="6"/>
      <c r="G1896" s="7"/>
    </row>
    <row r="1897" spans="4:7" x14ac:dyDescent="0.2">
      <c r="D1897" s="6"/>
      <c r="E1897" s="6"/>
      <c r="F1897" s="6"/>
      <c r="G1897" s="7"/>
    </row>
    <row r="1898" spans="4:7" x14ac:dyDescent="0.2">
      <c r="D1898" s="6"/>
      <c r="E1898" s="6"/>
      <c r="F1898" s="6"/>
      <c r="G1898" s="7"/>
    </row>
    <row r="1899" spans="4:7" x14ac:dyDescent="0.2">
      <c r="D1899" s="6"/>
      <c r="E1899" s="6"/>
      <c r="F1899" s="6"/>
      <c r="G1899" s="7"/>
    </row>
    <row r="1900" spans="4:7" x14ac:dyDescent="0.2">
      <c r="D1900" s="6"/>
      <c r="E1900" s="6"/>
      <c r="F1900" s="6"/>
      <c r="G1900" s="7"/>
    </row>
    <row r="1901" spans="4:7" x14ac:dyDescent="0.2">
      <c r="D1901" s="6"/>
      <c r="E1901" s="6"/>
      <c r="F1901" s="6"/>
      <c r="G1901" s="7"/>
    </row>
    <row r="1902" spans="4:7" x14ac:dyDescent="0.2">
      <c r="D1902" s="6"/>
      <c r="E1902" s="6"/>
      <c r="F1902" s="6"/>
      <c r="G1902" s="7"/>
    </row>
    <row r="1903" spans="4:7" x14ac:dyDescent="0.2">
      <c r="D1903" s="6"/>
      <c r="E1903" s="6"/>
      <c r="F1903" s="6"/>
      <c r="G1903" s="7"/>
    </row>
    <row r="1904" spans="4:7" x14ac:dyDescent="0.2">
      <c r="D1904" s="6"/>
      <c r="E1904" s="6"/>
      <c r="F1904" s="6"/>
      <c r="G1904" s="7"/>
    </row>
    <row r="1905" spans="4:7" x14ac:dyDescent="0.2">
      <c r="D1905" s="6"/>
      <c r="E1905" s="6"/>
      <c r="F1905" s="6"/>
      <c r="G1905" s="7"/>
    </row>
    <row r="1906" spans="4:7" x14ac:dyDescent="0.2">
      <c r="D1906" s="6"/>
      <c r="E1906" s="6"/>
      <c r="F1906" s="6"/>
      <c r="G1906" s="7"/>
    </row>
    <row r="1907" spans="4:7" x14ac:dyDescent="0.2">
      <c r="D1907" s="6"/>
      <c r="E1907" s="6"/>
      <c r="F1907" s="6"/>
      <c r="G1907" s="7"/>
    </row>
    <row r="1908" spans="4:7" x14ac:dyDescent="0.2">
      <c r="D1908" s="6"/>
      <c r="E1908" s="6"/>
      <c r="F1908" s="6"/>
      <c r="G1908" s="7"/>
    </row>
    <row r="1909" spans="4:7" x14ac:dyDescent="0.2">
      <c r="D1909" s="6"/>
      <c r="E1909" s="6"/>
      <c r="F1909" s="6"/>
      <c r="G1909" s="7"/>
    </row>
    <row r="1910" spans="4:7" x14ac:dyDescent="0.2">
      <c r="D1910" s="6"/>
      <c r="E1910" s="6"/>
      <c r="F1910" s="6"/>
      <c r="G1910" s="7"/>
    </row>
    <row r="1911" spans="4:7" x14ac:dyDescent="0.2">
      <c r="D1911" s="6"/>
      <c r="E1911" s="6"/>
      <c r="F1911" s="6"/>
      <c r="G1911" s="7"/>
    </row>
    <row r="1912" spans="4:7" x14ac:dyDescent="0.2">
      <c r="D1912" s="6"/>
      <c r="E1912" s="6"/>
      <c r="F1912" s="6"/>
      <c r="G1912" s="7"/>
    </row>
    <row r="1913" spans="4:7" x14ac:dyDescent="0.2">
      <c r="D1913" s="6"/>
      <c r="E1913" s="6"/>
      <c r="F1913" s="6"/>
      <c r="G1913" s="7"/>
    </row>
    <row r="1914" spans="4:7" x14ac:dyDescent="0.2">
      <c r="D1914" s="6"/>
      <c r="E1914" s="6"/>
      <c r="F1914" s="6"/>
      <c r="G1914" s="7"/>
    </row>
  </sheetData>
  <mergeCells count="2">
    <mergeCell ref="A2:H4"/>
    <mergeCell ref="A1:H1"/>
  </mergeCells>
  <phoneticPr fontId="3" type="noConversion"/>
  <conditionalFormatting sqref="A204">
    <cfRule type="expression" dxfId="66" priority="189">
      <formula>AND($A204&lt;&gt;"",OR($B211="", $C210="", $D206="", $E206=""))</formula>
    </cfRule>
  </conditionalFormatting>
  <conditionalFormatting sqref="A205">
    <cfRule type="expression" dxfId="65" priority="219">
      <formula>AND($A205&lt;&gt;"",OR($B211="", $C210="", $D206="", $E206=""))</formula>
    </cfRule>
  </conditionalFormatting>
  <conditionalFormatting sqref="A206:A209">
    <cfRule type="expression" dxfId="64" priority="272">
      <formula>AND($A206&lt;&gt;"",OR($B212="", $C211="", $D210="", $E211=""))</formula>
    </cfRule>
  </conditionalFormatting>
  <conditionalFormatting sqref="A210">
    <cfRule type="expression" dxfId="63" priority="252">
      <formula>AND($A210&lt;&gt;"",OR($B213="", $C212="", $D211="", $E212=""))</formula>
    </cfRule>
  </conditionalFormatting>
  <conditionalFormatting sqref="A211:A216 D211:D217 D226">
    <cfRule type="expression" dxfId="62" priority="209">
      <formula>AND($A211&lt;&gt;"",OR($B213="", $C212="", $D211="", $E212=""))</formula>
    </cfRule>
  </conditionalFormatting>
  <conditionalFormatting sqref="A217">
    <cfRule type="expression" dxfId="61" priority="259">
      <formula>AND($A217&lt;&gt;"",OR($B219="", $C218="", $D217="", #REF!=""))</formula>
    </cfRule>
  </conditionalFormatting>
  <conditionalFormatting sqref="A218 E218">
    <cfRule type="expression" dxfId="60" priority="233">
      <formula>AND($A218&lt;&gt;"",OR(#REF!="", $C219="", $D218="", $E218=""))</formula>
    </cfRule>
  </conditionalFormatting>
  <conditionalFormatting sqref="A219:A221 D219:E221">
    <cfRule type="expression" dxfId="59" priority="275">
      <formula>AND($A219&lt;&gt;"",OR($B222="", #REF!="", $D219="", $E219=""))</formula>
    </cfRule>
  </conditionalFormatting>
  <conditionalFormatting sqref="A230 D230:E230 A285 D285:E285 A296 D296:E296">
    <cfRule type="expression" dxfId="58" priority="276">
      <formula>AND($A230&lt;&gt;"",OR($B233="", $C231="", $D230="", $E230=""))</formula>
    </cfRule>
  </conditionalFormatting>
  <conditionalFormatting sqref="A231:A232 D231:E232 A286:A287 D286:E287 A297:A298 D297:E298">
    <cfRule type="expression" dxfId="57" priority="278">
      <formula>AND($A231&lt;&gt;"",OR($B234="", $C233="", $D231="", $E231=""))</formula>
    </cfRule>
  </conditionalFormatting>
  <conditionalFormatting sqref="A265 D265:E265 A271 D271:E271 A277 D277:E277 A282 D282:E282">
    <cfRule type="expression" dxfId="56" priority="350">
      <formula>AND($A265&lt;&gt;"",OR(#REF!="", $C266="", $D265="", $E265=""))</formula>
    </cfRule>
  </conditionalFormatting>
  <conditionalFormatting sqref="A266 D266:E266 A272 D272:E272 A278 D278:E278">
    <cfRule type="expression" dxfId="55" priority="351">
      <formula>AND($A266&lt;&gt;"",OR(#REF!="", #REF!="", $D266="", $E266=""))</formula>
    </cfRule>
  </conditionalFormatting>
  <conditionalFormatting sqref="A283 D283:E283">
    <cfRule type="expression" dxfId="54" priority="387">
      <formula>AND($A283&lt;&gt;"",OR($B284="", #REF!="", $D283="", $E283=""))</formula>
    </cfRule>
  </conditionalFormatting>
  <conditionalFormatting sqref="A308 D308:E308">
    <cfRule type="expression" dxfId="53" priority="335">
      <formula>AND($A308&lt;&gt;"",OR(#REF!="", $C309="", $D308="", $E308=""))</formula>
    </cfRule>
  </conditionalFormatting>
  <conditionalFormatting sqref="A309 D309:E309">
    <cfRule type="expression" dxfId="52" priority="336">
      <formula>AND($A309&lt;&gt;"",OR(#REF!="", #REF!="", $D309="", $E309=""))</formula>
    </cfRule>
  </conditionalFormatting>
  <conditionalFormatting sqref="A194:C200 E194:E200">
    <cfRule type="expression" dxfId="51" priority="61">
      <formula>AND($A194&lt;&gt;"",OR($B194="", $C194="", $E194="", #REF!=""))</formula>
    </cfRule>
  </conditionalFormatting>
  <conditionalFormatting sqref="A103:D103">
    <cfRule type="expression" dxfId="50" priority="58">
      <formula>AND($A103&lt;&gt;"",OR($B103="", $C103="", $D103="", $E104=""))</formula>
    </cfRule>
  </conditionalFormatting>
  <conditionalFormatting sqref="A104:D104">
    <cfRule type="expression" dxfId="49" priority="59">
      <formula>AND($A104&lt;&gt;"",OR($B104="", $C104="", $D104="", #REF!=""))</formula>
    </cfRule>
  </conditionalFormatting>
  <conditionalFormatting sqref="A7:E102 A105:E163 D164:D165 A164:C193 E164:E193 D168:D173 D176:D181 D184:D189 D192:D195 D198:D210 A201:C203 E201:E205 B204:C209">
    <cfRule type="expression" dxfId="48" priority="55">
      <formula>AND($A7&lt;&gt;"",OR($B7="", $C7="", $D7="", $E7=""))</formula>
    </cfRule>
  </conditionalFormatting>
  <conditionalFormatting sqref="B210">
    <cfRule type="expression" dxfId="47" priority="222">
      <formula>AND($A203&lt;&gt;"",OR($B210="", $C206="", $D205="", $E205=""))</formula>
    </cfRule>
  </conditionalFormatting>
  <conditionalFormatting sqref="B211">
    <cfRule type="expression" dxfId="46" priority="223">
      <formula>AND($A204&lt;&gt;"",OR($B211="", $C210="", $D206="", $E206=""))</formula>
    </cfRule>
  </conditionalFormatting>
  <conditionalFormatting sqref="B212">
    <cfRule type="expression" dxfId="45" priority="255">
      <formula>AND($A206&lt;&gt;"",OR($B212="", $C211="", $D210="", $E211=""))</formula>
    </cfRule>
  </conditionalFormatting>
  <conditionalFormatting sqref="B213:B218">
    <cfRule type="expression" dxfId="44" priority="265">
      <formula>AND($A211&lt;&gt;"",OR($B213="", $C212="", $D211="", $E212=""))</formula>
    </cfRule>
  </conditionalFormatting>
  <conditionalFormatting sqref="B219:B221">
    <cfRule type="expression" dxfId="43" priority="264">
      <formula>AND($A217&lt;&gt;"",OR($B219="", $C218="", $D217="", #REF!=""))</formula>
    </cfRule>
  </conditionalFormatting>
  <conditionalFormatting sqref="B222">
    <cfRule type="expression" dxfId="42" priority="247">
      <formula>AND($A219&lt;&gt;"",OR($B222="", #REF!="", $D219="", $E219=""))</formula>
    </cfRule>
  </conditionalFormatting>
  <conditionalFormatting sqref="B223">
    <cfRule type="expression" dxfId="41" priority="249">
      <formula>AND(#REF!&lt;&gt;"",OR($B223="", $C222="", #REF!="", #REF!=""))</formula>
    </cfRule>
  </conditionalFormatting>
  <conditionalFormatting sqref="B224:B232 B263:B266 B269:B272 B275:B278 B281:B283 B286:B287 B290:B298 B301:B309 B312:B1916">
    <cfRule type="expression" dxfId="40" priority="208">
      <formula>AND($A222&lt;&gt;"",OR($B224="", $C223="", $D222="", $E222=""))</formula>
    </cfRule>
  </conditionalFormatting>
  <conditionalFormatting sqref="B261">
    <cfRule type="expression" dxfId="39" priority="410">
      <formula>AND(#REF!&lt;&gt;"",OR($B261="", #REF!="", #REF!="", #REF!=""))</formula>
    </cfRule>
  </conditionalFormatting>
  <conditionalFormatting sqref="B262">
    <cfRule type="expression" dxfId="38" priority="412">
      <formula>AND(#REF!&lt;&gt;"",OR($B262="", $C261="", #REF!="", #REF!=""))</formula>
    </cfRule>
  </conditionalFormatting>
  <conditionalFormatting sqref="B267 B273 B279">
    <cfRule type="expression" dxfId="37" priority="359">
      <formula>AND(#REF!&lt;&gt;"",OR($B267="", #REF!="", #REF!="", #REF!=""))</formula>
    </cfRule>
  </conditionalFormatting>
  <conditionalFormatting sqref="B268 B274 B280 B285">
    <cfRule type="expression" dxfId="36" priority="361">
      <formula>AND(#REF!&lt;&gt;"",OR($B268="", $C267="", #REF!="", #REF!=""))</formula>
    </cfRule>
  </conditionalFormatting>
  <conditionalFormatting sqref="B284">
    <cfRule type="expression" dxfId="35" priority="400">
      <formula>AND($A283&lt;&gt;"",OR($B284="", #REF!="", $D283="", $E283=""))</formula>
    </cfRule>
  </conditionalFormatting>
  <conditionalFormatting sqref="B288 B299">
    <cfRule type="expression" dxfId="34" priority="288">
      <formula>AND($A285&lt;&gt;"",OR($B288="", $C286="", $D285="", $E285=""))</formula>
    </cfRule>
  </conditionalFormatting>
  <conditionalFormatting sqref="B289 B300">
    <cfRule type="expression" dxfId="33" priority="290">
      <formula>AND($A286&lt;&gt;"",OR($B289="", $C288="", $D286="", $E286=""))</formula>
    </cfRule>
  </conditionalFormatting>
  <conditionalFormatting sqref="B310">
    <cfRule type="expression" dxfId="32" priority="344">
      <formula>AND(#REF!&lt;&gt;"",OR($B310="", #REF!="", #REF!="", #REF!=""))</formula>
    </cfRule>
  </conditionalFormatting>
  <conditionalFormatting sqref="B311">
    <cfRule type="expression" dxfId="31" priority="346">
      <formula>AND(#REF!&lt;&gt;"",OR($B311="", $C310="", #REF!="", #REF!=""))</formula>
    </cfRule>
  </conditionalFormatting>
  <conditionalFormatting sqref="C210">
    <cfRule type="expression" dxfId="30" priority="191">
      <formula>AND($A204&lt;&gt;"",OR($B211="", $C210="", $D206="", $E206=""))</formula>
    </cfRule>
  </conditionalFormatting>
  <conditionalFormatting sqref="C211 E211">
    <cfRule type="expression" dxfId="29" priority="253">
      <formula>AND($A206&lt;&gt;"",OR($B212="", $C211="", $D210="", $E211=""))</formula>
    </cfRule>
  </conditionalFormatting>
  <conditionalFormatting sqref="C212:C217 E212:E217">
    <cfRule type="expression" dxfId="28" priority="261">
      <formula>AND($A211&lt;&gt;"",OR($B213="", $C212="", $D211="", $E212=""))</formula>
    </cfRule>
  </conditionalFormatting>
  <conditionalFormatting sqref="C218">
    <cfRule type="expression" dxfId="27" priority="262">
      <formula>AND($A217&lt;&gt;"",OR($B219="", $C218="", $D217="", #REF!=""))</formula>
    </cfRule>
  </conditionalFormatting>
  <conditionalFormatting sqref="C219:C221">
    <cfRule type="expression" dxfId="26" priority="244">
      <formula>AND($A218&lt;&gt;"",OR(#REF!="", $C219="", $D218="", $E218=""))</formula>
    </cfRule>
  </conditionalFormatting>
  <conditionalFormatting sqref="C222">
    <cfRule type="expression" dxfId="25" priority="274">
      <formula>AND($A214&lt;&gt;"",OR($B223="", $C222="", $D216="", $E217=""))</formula>
    </cfRule>
  </conditionalFormatting>
  <conditionalFormatting sqref="C223">
    <cfRule type="expression" dxfId="24" priority="186">
      <formula>AND($A216&lt;&gt;"",OR($B224="", $C223="", $D222="", $E222=""))</formula>
    </cfRule>
  </conditionalFormatting>
  <conditionalFormatting sqref="C224:C230 C263:C265 C269:C271 C274:C277 C280:C282 C285 C290:C296 C301:C307 C311:C1915">
    <cfRule type="expression" dxfId="23" priority="207">
      <formula>AND($A223&lt;&gt;"",OR($B225="", $C224="", $D223="", $E223=""))</formula>
    </cfRule>
  </conditionalFormatting>
  <conditionalFormatting sqref="C231:C232">
    <cfRule type="expression" dxfId="22" priority="52">
      <formula>AND($A230&lt;&gt;"",OR(#REF!="", $C231="", $D230="", $E230=""))</formula>
    </cfRule>
  </conditionalFormatting>
  <conditionalFormatting sqref="C261">
    <cfRule type="expression" dxfId="21" priority="413">
      <formula>AND(#REF!&lt;&gt;"",OR($B262="", $C261="", #REF!="", #REF!=""))</formula>
    </cfRule>
  </conditionalFormatting>
  <conditionalFormatting sqref="C262">
    <cfRule type="expression" dxfId="20" priority="414">
      <formula>AND(#REF!&lt;&gt;"",OR($B263="", $C262="", $D261="", $E261=""))</formula>
    </cfRule>
  </conditionalFormatting>
  <conditionalFormatting sqref="C266 C272 C278 C283">
    <cfRule type="expression" dxfId="19" priority="357">
      <formula>AND($A265&lt;&gt;"",OR(#REF!="", $C266="", $D265="", $E265=""))</formula>
    </cfRule>
  </conditionalFormatting>
  <conditionalFormatting sqref="C267">
    <cfRule type="expression" dxfId="18" priority="363">
      <formula>AND($A265&lt;&gt;"",OR($B268="", $C267="", #REF!="", #REF!=""))</formula>
    </cfRule>
  </conditionalFormatting>
  <conditionalFormatting sqref="C268 C289">
    <cfRule type="expression" dxfId="17" priority="362">
      <formula>AND(#REF!&lt;&gt;"",OR($B269="", $C268="", $D267="", $E267=""))</formula>
    </cfRule>
  </conditionalFormatting>
  <conditionalFormatting sqref="C273 C284">
    <cfRule type="expression" dxfId="16" priority="369">
      <formula>AND(#REF!&lt;&gt;"",OR($B274="", $C273="", #REF!="", #REF!=""))</formula>
    </cfRule>
  </conditionalFormatting>
  <conditionalFormatting sqref="C279">
    <cfRule type="expression" dxfId="15" priority="384">
      <formula>AND($A278&lt;&gt;"",OR($B280="", $C279="", #REF!="", #REF!=""))</formula>
    </cfRule>
  </conditionalFormatting>
  <conditionalFormatting sqref="C286:C287">
    <cfRule type="expression" dxfId="14" priority="22">
      <formula>AND($A285&lt;&gt;"",OR(#REF!="", $C286="", $D285="", $E285=""))</formula>
    </cfRule>
  </conditionalFormatting>
  <conditionalFormatting sqref="C288">
    <cfRule type="expression" dxfId="13" priority="405">
      <formula>AND($A282&lt;&gt;"",OR($B289="", $C288="", #REF!="", #REF!=""))</formula>
    </cfRule>
  </conditionalFormatting>
  <conditionalFormatting sqref="C297:C298">
    <cfRule type="expression" dxfId="12" priority="19">
      <formula>AND($A296&lt;&gt;"",OR(#REF!="", $C297="", $D296="", $E296=""))</formula>
    </cfRule>
  </conditionalFormatting>
  <conditionalFormatting sqref="C299">
    <cfRule type="expression" dxfId="11" priority="15">
      <formula>AND($A292&lt;&gt;"",OR($B300="", $C299="", $D294="", $E294=""))</formula>
    </cfRule>
  </conditionalFormatting>
  <conditionalFormatting sqref="C300">
    <cfRule type="expression" dxfId="10" priority="14">
      <formula>AND($A294&lt;&gt;"",OR($B301="", $C300="", $D299="", $E299=""))</formula>
    </cfRule>
  </conditionalFormatting>
  <conditionalFormatting sqref="C308">
    <cfRule type="expression" dxfId="9" priority="16">
      <formula>AND($A307&lt;&gt;"",OR(#REF!="", $C308="", $D307="", $E307=""))</formula>
    </cfRule>
  </conditionalFormatting>
  <conditionalFormatting sqref="C309">
    <cfRule type="expression" dxfId="8" priority="347">
      <formula>AND($A303&lt;&gt;"",OR(#REF!="", $C309="", $D305="", $E305=""))</formula>
    </cfRule>
  </conditionalFormatting>
  <conditionalFormatting sqref="C310">
    <cfRule type="expression" dxfId="7" priority="341">
      <formula>AND(#REF!&lt;&gt;"",OR($B311="", $C310="", #REF!="", #REF!=""))</formula>
    </cfRule>
  </conditionalFormatting>
  <conditionalFormatting sqref="D166 D174 D182 D190 D196">
    <cfRule type="expression" dxfId="6" priority="53">
      <formula>AND($A166&lt;&gt;"",OR($B166="", $C166="", $D166="", $E167=""))</formula>
    </cfRule>
  </conditionalFormatting>
  <conditionalFormatting sqref="D167 D175 D183 D191 D197">
    <cfRule type="expression" dxfId="5" priority="54">
      <formula>AND($A167&lt;&gt;"",OR($B167="", $C167="", $D167="", #REF!=""))</formula>
    </cfRule>
  </conditionalFormatting>
  <conditionalFormatting sqref="D218">
    <cfRule type="expression" dxfId="4" priority="251">
      <formula>AND($A218&lt;&gt;"",OR(#REF!="", $C219="", $D218="", #REF!=""))</formula>
    </cfRule>
  </conditionalFormatting>
  <conditionalFormatting sqref="D222:D225 A222:A229 E222:E229 D228:D229 A261:A264 D261:E264 A267:A270 D267:E270 A273:A276 D273:E276 A279:A281 D279:E281 A284 D284:E284 A288:A295 D288:E295 A299:A307 D299:E307 A310:A1914 D310:E1914">
    <cfRule type="expression" dxfId="3" priority="194">
      <formula>AND($A222&lt;&gt;"",OR($B224="", $C223="", $D222="", $E222=""))</formula>
    </cfRule>
  </conditionalFormatting>
  <conditionalFormatting sqref="D227">
    <cfRule type="expression" dxfId="2" priority="218">
      <formula>AND($A227&lt;&gt;"",OR($B229="", $C228="", $D227="", #REF!=""))</formula>
    </cfRule>
  </conditionalFormatting>
  <conditionalFormatting sqref="E104">
    <cfRule type="expression" dxfId="1" priority="57">
      <formula>AND($A103&lt;&gt;"",OR($B103="", $C103="", $D103="", $E104=""))</formula>
    </cfRule>
  </conditionalFormatting>
  <conditionalFormatting sqref="E206:E210">
    <cfRule type="expression" dxfId="0" priority="227">
      <formula>AND($A204&lt;&gt;"",OR($B211="", $C210="", $D206="", $E206=""))</formula>
    </cfRule>
  </conditionalFormatting>
  <dataValidations count="1">
    <dataValidation type="list" allowBlank="1" sqref="B7:B232 B261:B1916" xr:uid="{00000000-0002-0000-0000-000000000000}">
      <formula1>"walking,jogging,running,heel_drop,step_drop"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0" customWidth="1"/>
    <col min="4" max="5" width="16" customWidth="1"/>
    <col min="6" max="6" width="24" customWidth="1"/>
  </cols>
  <sheetData>
    <row r="1" spans="1:6" ht="19" x14ac:dyDescent="0.25">
      <c r="A1" s="28" t="s">
        <v>19</v>
      </c>
      <c r="B1" s="30"/>
      <c r="C1" s="30"/>
      <c r="D1" s="30"/>
      <c r="E1" s="30"/>
      <c r="F1" s="30"/>
    </row>
    <row r="2" spans="1:6" x14ac:dyDescent="0.2">
      <c r="A2" s="29" t="s">
        <v>20</v>
      </c>
      <c r="B2" s="30"/>
      <c r="C2" s="30"/>
      <c r="D2" s="30"/>
      <c r="E2" s="30"/>
      <c r="F2" s="30"/>
    </row>
    <row r="3" spans="1:6" x14ac:dyDescent="0.2">
      <c r="A3" s="30"/>
      <c r="B3" s="30"/>
      <c r="C3" s="30"/>
      <c r="D3" s="30"/>
      <c r="E3" s="30"/>
      <c r="F3" s="30"/>
    </row>
    <row r="5" spans="1:6" ht="16" x14ac:dyDescent="0.2">
      <c r="A5" s="1" t="s">
        <v>2</v>
      </c>
      <c r="B5" s="1" t="s">
        <v>3</v>
      </c>
      <c r="C5" s="1" t="s">
        <v>21</v>
      </c>
      <c r="D5" s="1" t="s">
        <v>22</v>
      </c>
      <c r="E5" s="1" t="s">
        <v>23</v>
      </c>
      <c r="F5" s="1" t="s">
        <v>9</v>
      </c>
    </row>
    <row r="6" spans="1:6" ht="16" x14ac:dyDescent="0.2">
      <c r="A6" s="2" t="s">
        <v>10</v>
      </c>
      <c r="B6" s="2" t="s">
        <v>11</v>
      </c>
      <c r="C6" s="8">
        <f>COUNTIFS(Raw!$A:$A,$A6,Raw!$B:$B,$B6,Raw!$F:$F,"&gt;0")</f>
        <v>10</v>
      </c>
      <c r="D6" s="4">
        <f>IF(C6=0,"",AVERAGEIFS(Raw!$F:$F,Raw!$A:$A,$A6,Raw!$B:$B,$B6))</f>
        <v>1.7155510210863638</v>
      </c>
      <c r="E6" s="5">
        <f t="shared" ref="E6:E37" si="0">IF(D6="","",D6*3.6)</f>
        <v>6.1759836759109099</v>
      </c>
      <c r="F6" s="9"/>
    </row>
    <row r="7" spans="1:6" ht="16" x14ac:dyDescent="0.2">
      <c r="A7" s="2" t="s">
        <v>10</v>
      </c>
      <c r="B7" s="2" t="s">
        <v>12</v>
      </c>
      <c r="C7" s="8">
        <f>COUNTIFS(Raw!$A:$A,$A7,Raw!$B:$B,$B7,Raw!$F:$F,"&gt;0")</f>
        <v>11</v>
      </c>
      <c r="D7" s="4">
        <f>IF(C7=0,"",AVERAGEIFS(Raw!$F:$F,Raw!$A:$A,$A7,Raw!$B:$B,$B7))</f>
        <v>3.3353860326212157</v>
      </c>
      <c r="E7" s="5">
        <f t="shared" si="0"/>
        <v>12.007389717436377</v>
      </c>
      <c r="F7" s="9"/>
    </row>
    <row r="8" spans="1:6" ht="16" x14ac:dyDescent="0.2">
      <c r="A8" s="2" t="s">
        <v>10</v>
      </c>
      <c r="B8" s="2" t="s">
        <v>13</v>
      </c>
      <c r="C8" s="8">
        <f>COUNTIFS(Raw!$A:$A,$A8,Raw!$B:$B,$B8,Raw!$F:$F,"&gt;0")</f>
        <v>12</v>
      </c>
      <c r="D8" s="4">
        <f>IF(C8=0,"",AVERAGEIFS(Raw!$F:$F,Raw!$A:$A,$A8,Raw!$B:$B,$B8))</f>
        <v>4.2454712726409776</v>
      </c>
      <c r="E8" s="5">
        <f t="shared" si="0"/>
        <v>15.28369658150752</v>
      </c>
      <c r="F8" s="9"/>
    </row>
    <row r="9" spans="1:6" ht="16" x14ac:dyDescent="0.2">
      <c r="A9" s="2" t="s">
        <v>10</v>
      </c>
      <c r="B9" s="2" t="s">
        <v>24</v>
      </c>
      <c r="C9" s="8">
        <f>COUNTIFS(Raw!$A:$A,$A9,Raw!$B:$B,$B9,Raw!$F:$F,"&gt;0")</f>
        <v>0</v>
      </c>
      <c r="D9" s="4" t="str">
        <f>IF(C9=0,"",AVERAGEIFS(Raw!$F:$F,Raw!$A:$A,$A9,Raw!$B:$B,$B9))</f>
        <v/>
      </c>
      <c r="E9" s="5" t="str">
        <f t="shared" si="0"/>
        <v/>
      </c>
      <c r="F9" s="9"/>
    </row>
    <row r="10" spans="1:6" ht="16" x14ac:dyDescent="0.2">
      <c r="A10" s="2" t="s">
        <v>10</v>
      </c>
      <c r="B10" s="2" t="s">
        <v>25</v>
      </c>
      <c r="C10" s="8">
        <f>COUNTIFS(Raw!$A:$A,$A10,Raw!$B:$B,$B10,Raw!$F:$F,"&gt;0")</f>
        <v>0</v>
      </c>
      <c r="D10" s="4" t="str">
        <f>IF(C10=0,"",AVERAGEIFS(Raw!$F:$F,Raw!$A:$A,$A10,Raw!$B:$B,$B10))</f>
        <v/>
      </c>
      <c r="E10" s="5" t="str">
        <f t="shared" si="0"/>
        <v/>
      </c>
      <c r="F10" s="9"/>
    </row>
    <row r="11" spans="1:6" ht="16" x14ac:dyDescent="0.2">
      <c r="A11" s="2" t="s">
        <v>14</v>
      </c>
      <c r="B11" s="2" t="s">
        <v>11</v>
      </c>
      <c r="C11" s="8">
        <f>COUNTIFS(Raw!$A:$A,$A11,Raw!$B:$B,$B11,Raw!$F:$F,"&gt;0")</f>
        <v>10</v>
      </c>
      <c r="D11" s="4">
        <f>IF(C11=0,"",AVERAGEIFS(Raw!$F:$F,Raw!$A:$A,$A11,Raw!$B:$B,$B11))</f>
        <v>1.5745558018299275</v>
      </c>
      <c r="E11" s="5">
        <f t="shared" si="0"/>
        <v>5.6684008865877393</v>
      </c>
      <c r="F11" s="9"/>
    </row>
    <row r="12" spans="1:6" ht="16" x14ac:dyDescent="0.2">
      <c r="A12" s="2" t="s">
        <v>14</v>
      </c>
      <c r="B12" s="2" t="s">
        <v>12</v>
      </c>
      <c r="C12" s="8">
        <f>COUNTIFS(Raw!$A:$A,$A12,Raw!$B:$B,$B12,Raw!$F:$F,"&gt;0")</f>
        <v>10</v>
      </c>
      <c r="D12" s="4">
        <f>IF(C12=0,"",AVERAGEIFS(Raw!$F:$F,Raw!$A:$A,$A12,Raw!$B:$B,$B12))</f>
        <v>2.4269559368707934</v>
      </c>
      <c r="E12" s="5">
        <f t="shared" si="0"/>
        <v>8.7370413727348559</v>
      </c>
      <c r="F12" s="9"/>
    </row>
    <row r="13" spans="1:6" ht="16" x14ac:dyDescent="0.2">
      <c r="A13" s="2" t="s">
        <v>14</v>
      </c>
      <c r="B13" s="2" t="s">
        <v>13</v>
      </c>
      <c r="C13" s="8">
        <f>COUNTIFS(Raw!$A:$A,$A13,Raw!$B:$B,$B13,Raw!$F:$F,"&gt;0")</f>
        <v>10</v>
      </c>
      <c r="D13" s="4">
        <f>IF(C13=0,"",AVERAGEIFS(Raw!$F:$F,Raw!$A:$A,$A13,Raw!$B:$B,$B13))</f>
        <v>2.9828801206331383</v>
      </c>
      <c r="E13" s="5">
        <f t="shared" si="0"/>
        <v>10.738368434279298</v>
      </c>
      <c r="F13" s="9"/>
    </row>
    <row r="14" spans="1:6" ht="16" x14ac:dyDescent="0.2">
      <c r="A14" s="2" t="s">
        <v>14</v>
      </c>
      <c r="B14" s="2" t="s">
        <v>24</v>
      </c>
      <c r="C14" s="8">
        <f>COUNTIFS(Raw!$A:$A,$A14,Raw!$B:$B,$B14,Raw!$F:$F,"&gt;0")</f>
        <v>0</v>
      </c>
      <c r="D14" s="4" t="str">
        <f>IF(C14=0,"",AVERAGEIFS(Raw!$F:$F,Raw!$A:$A,$A14,Raw!$B:$B,$B14))</f>
        <v/>
      </c>
      <c r="E14" s="5" t="str">
        <f t="shared" si="0"/>
        <v/>
      </c>
      <c r="F14" s="9"/>
    </row>
    <row r="15" spans="1:6" ht="16" x14ac:dyDescent="0.2">
      <c r="A15" s="2" t="s">
        <v>14</v>
      </c>
      <c r="B15" s="2" t="s">
        <v>25</v>
      </c>
      <c r="C15" s="8">
        <f>COUNTIFS(Raw!$A:$A,$A15,Raw!$B:$B,$B15,Raw!$F:$F,"&gt;0")</f>
        <v>0</v>
      </c>
      <c r="D15" s="4" t="str">
        <f>IF(C15=0,"",AVERAGEIFS(Raw!$F:$F,Raw!$A:$A,$A15,Raw!$B:$B,$B15))</f>
        <v/>
      </c>
      <c r="E15" s="5" t="str">
        <f t="shared" si="0"/>
        <v/>
      </c>
      <c r="F15" s="9"/>
    </row>
    <row r="16" spans="1:6" ht="16" x14ac:dyDescent="0.2">
      <c r="A16" s="2" t="s">
        <v>15</v>
      </c>
      <c r="B16" s="2" t="s">
        <v>11</v>
      </c>
      <c r="C16" s="8">
        <f>COUNTIFS(Raw!$A:$A,$A16,Raw!$B:$B,$B16,Raw!$F:$F,"&gt;0")</f>
        <v>10</v>
      </c>
      <c r="D16" s="4">
        <f>IF(C16=0,"",AVERAGEIFS(Raw!$F:$F,Raw!$A:$A,$A16,Raw!$B:$B,$B16))</f>
        <v>1.2986530213964056</v>
      </c>
      <c r="E16" s="5">
        <f t="shared" si="0"/>
        <v>4.6751508770270602</v>
      </c>
      <c r="F16" s="9"/>
    </row>
    <row r="17" spans="1:6" ht="16" x14ac:dyDescent="0.2">
      <c r="A17" s="2" t="s">
        <v>15</v>
      </c>
      <c r="B17" s="2" t="s">
        <v>12</v>
      </c>
      <c r="C17" s="8">
        <f>COUNTIFS(Raw!$A:$A,$A17,Raw!$B:$B,$B17,Raw!$F:$F,"&gt;0")</f>
        <v>11</v>
      </c>
      <c r="D17" s="4">
        <f>IF(C17=0,"",AVERAGEIFS(Raw!$F:$F,Raw!$A:$A,$A17,Raw!$B:$B,$B17))</f>
        <v>2.2157867670908518</v>
      </c>
      <c r="E17" s="5">
        <f t="shared" si="0"/>
        <v>7.9768323615270669</v>
      </c>
      <c r="F17" s="9"/>
    </row>
    <row r="18" spans="1:6" ht="16" x14ac:dyDescent="0.2">
      <c r="A18" s="2" t="s">
        <v>15</v>
      </c>
      <c r="B18" s="2" t="s">
        <v>13</v>
      </c>
      <c r="C18" s="8">
        <f>COUNTIFS(Raw!$A:$A,$A18,Raw!$B:$B,$B18,Raw!$F:$F,"&gt;0")</f>
        <v>10</v>
      </c>
      <c r="D18" s="4">
        <f>IF(C18=0,"",AVERAGEIFS(Raw!$F:$F,Raw!$A:$A,$A18,Raw!$B:$B,$B18))</f>
        <v>2.9188993410966426</v>
      </c>
      <c r="E18" s="5">
        <f t="shared" si="0"/>
        <v>10.508037627947914</v>
      </c>
      <c r="F18" s="9"/>
    </row>
    <row r="19" spans="1:6" ht="16" x14ac:dyDescent="0.2">
      <c r="A19" s="2" t="s">
        <v>15</v>
      </c>
      <c r="B19" s="2" t="s">
        <v>24</v>
      </c>
      <c r="C19" s="8">
        <f>COUNTIFS(Raw!$A:$A,$A19,Raw!$B:$B,$B19,Raw!$F:$F,"&gt;0")</f>
        <v>0</v>
      </c>
      <c r="D19" s="4" t="str">
        <f>IF(C19=0,"",AVERAGEIFS(Raw!$F:$F,Raw!$A:$A,$A19,Raw!$B:$B,$B19))</f>
        <v/>
      </c>
      <c r="E19" s="5" t="str">
        <f t="shared" si="0"/>
        <v/>
      </c>
      <c r="F19" s="9"/>
    </row>
    <row r="20" spans="1:6" ht="16" x14ac:dyDescent="0.2">
      <c r="A20" s="2" t="s">
        <v>15</v>
      </c>
      <c r="B20" s="2" t="s">
        <v>25</v>
      </c>
      <c r="C20" s="8">
        <f>COUNTIFS(Raw!$A:$A,$A20,Raw!$B:$B,$B20,Raw!$F:$F,"&gt;0")</f>
        <v>0</v>
      </c>
      <c r="D20" s="4" t="str">
        <f>IF(C20=0,"",AVERAGEIFS(Raw!$F:$F,Raw!$A:$A,$A20,Raw!$B:$B,$B20))</f>
        <v/>
      </c>
      <c r="E20" s="5" t="str">
        <f t="shared" si="0"/>
        <v/>
      </c>
      <c r="F20" s="9"/>
    </row>
    <row r="21" spans="1:6" ht="16" x14ac:dyDescent="0.2">
      <c r="A21" s="2" t="s">
        <v>16</v>
      </c>
      <c r="B21" s="2" t="s">
        <v>11</v>
      </c>
      <c r="C21" s="8">
        <f>COUNTIFS(Raw!$A:$A,$A21,Raw!$B:$B,$B21,Raw!$F:$F,"&gt;0")</f>
        <v>11</v>
      </c>
      <c r="D21" s="4">
        <f>IF(C21=0,"",AVERAGEIFS(Raw!$F:$F,Raw!$A:$A,$A21,Raw!$B:$B,$B21))</f>
        <v>1.5842713137627533</v>
      </c>
      <c r="E21" s="5">
        <f t="shared" si="0"/>
        <v>5.7033767295459121</v>
      </c>
      <c r="F21" s="9"/>
    </row>
    <row r="22" spans="1:6" ht="16" x14ac:dyDescent="0.2">
      <c r="A22" s="2" t="s">
        <v>16</v>
      </c>
      <c r="B22" s="2" t="s">
        <v>12</v>
      </c>
      <c r="C22" s="8">
        <f>COUNTIFS(Raw!$A:$A,$A22,Raw!$B:$B,$B22,Raw!$F:$F,"&gt;0")</f>
        <v>10</v>
      </c>
      <c r="D22" s="4">
        <f>IF(C22=0,"",AVERAGEIFS(Raw!$F:$F,Raw!$A:$A,$A22,Raw!$B:$B,$B22))</f>
        <v>2.7159446961916127</v>
      </c>
      <c r="E22" s="5">
        <f t="shared" si="0"/>
        <v>9.777400906289806</v>
      </c>
      <c r="F22" s="9"/>
    </row>
    <row r="23" spans="1:6" ht="16" x14ac:dyDescent="0.2">
      <c r="A23" s="2" t="s">
        <v>16</v>
      </c>
      <c r="B23" s="2" t="s">
        <v>13</v>
      </c>
      <c r="C23" s="8">
        <f>COUNTIFS(Raw!$A:$A,$A23,Raw!$B:$B,$B23,Raw!$F:$F,"&gt;0")</f>
        <v>10</v>
      </c>
      <c r="D23" s="4">
        <f>IF(C23=0,"",AVERAGEIFS(Raw!$F:$F,Raw!$A:$A,$A23,Raw!$B:$B,$B23))</f>
        <v>3.2283007423828352</v>
      </c>
      <c r="E23" s="5">
        <f t="shared" si="0"/>
        <v>11.621882672578208</v>
      </c>
      <c r="F23" s="9"/>
    </row>
    <row r="24" spans="1:6" ht="16" x14ac:dyDescent="0.2">
      <c r="A24" s="2" t="s">
        <v>16</v>
      </c>
      <c r="B24" s="2" t="s">
        <v>24</v>
      </c>
      <c r="C24" s="8">
        <f>COUNTIFS(Raw!$A:$A,$A24,Raw!$B:$B,$B24,Raw!$F:$F,"&gt;0")</f>
        <v>0</v>
      </c>
      <c r="D24" s="4" t="str">
        <f>IF(C24=0,"",AVERAGEIFS(Raw!$F:$F,Raw!$A:$A,$A24,Raw!$B:$B,$B24))</f>
        <v/>
      </c>
      <c r="E24" s="5" t="str">
        <f t="shared" si="0"/>
        <v/>
      </c>
      <c r="F24" s="9"/>
    </row>
    <row r="25" spans="1:6" ht="16" x14ac:dyDescent="0.2">
      <c r="A25" s="2" t="s">
        <v>16</v>
      </c>
      <c r="B25" s="2" t="s">
        <v>25</v>
      </c>
      <c r="C25" s="8">
        <f>COUNTIFS(Raw!$A:$A,$A25,Raw!$B:$B,$B25,Raw!$F:$F,"&gt;0")</f>
        <v>0</v>
      </c>
      <c r="D25" s="4" t="str">
        <f>IF(C25=0,"",AVERAGEIFS(Raw!$F:$F,Raw!$A:$A,$A25,Raw!$B:$B,$B25))</f>
        <v/>
      </c>
      <c r="E25" s="5" t="str">
        <f t="shared" si="0"/>
        <v/>
      </c>
      <c r="F25" s="9"/>
    </row>
    <row r="26" spans="1:6" ht="16" x14ac:dyDescent="0.2">
      <c r="A26" s="2" t="s">
        <v>17</v>
      </c>
      <c r="B26" s="2" t="s">
        <v>11</v>
      </c>
      <c r="C26" s="8">
        <f>COUNTIFS(Raw!$A:$A,$A26,Raw!$B:$B,$B26,Raw!$F:$F,"&gt;0")</f>
        <v>11</v>
      </c>
      <c r="D26" s="4">
        <f>IF(C26=0,"",AVERAGEIFS(Raw!$F:$F,Raw!$A:$A,$A26,Raw!$B:$B,$B26))</f>
        <v>1.5157467351046778</v>
      </c>
      <c r="E26" s="5">
        <f t="shared" si="0"/>
        <v>5.4566882463768405</v>
      </c>
      <c r="F26" s="9"/>
    </row>
    <row r="27" spans="1:6" ht="16" x14ac:dyDescent="0.2">
      <c r="A27" s="2" t="s">
        <v>17</v>
      </c>
      <c r="B27" s="2" t="s">
        <v>12</v>
      </c>
      <c r="C27" s="8">
        <f>COUNTIFS(Raw!$A:$A,$A27,Raw!$B:$B,$B27,Raw!$F:$F,"&gt;0")</f>
        <v>10</v>
      </c>
      <c r="D27" s="4">
        <f>IF(C27=0,"",AVERAGEIFS(Raw!$F:$F,Raw!$A:$A,$A27,Raw!$B:$B,$B27))</f>
        <v>2.8256637375887337</v>
      </c>
      <c r="E27" s="5">
        <f t="shared" si="0"/>
        <v>10.172389455319442</v>
      </c>
      <c r="F27" s="9"/>
    </row>
    <row r="28" spans="1:6" ht="16" x14ac:dyDescent="0.2">
      <c r="A28" s="2" t="s">
        <v>17</v>
      </c>
      <c r="B28" s="2" t="s">
        <v>13</v>
      </c>
      <c r="C28" s="8">
        <f>COUNTIFS(Raw!$A:$A,$A28,Raw!$B:$B,$B28,Raw!$F:$F,"&gt;0")</f>
        <v>11</v>
      </c>
      <c r="D28" s="4">
        <f>IF(C28=0,"",AVERAGEIFS(Raw!$F:$F,Raw!$A:$A,$A28,Raw!$B:$B,$B28))</f>
        <v>3.6634481999605399</v>
      </c>
      <c r="E28" s="5">
        <f t="shared" si="0"/>
        <v>13.188413519857944</v>
      </c>
      <c r="F28" s="9"/>
    </row>
    <row r="29" spans="1:6" ht="16" x14ac:dyDescent="0.2">
      <c r="A29" s="2" t="s">
        <v>17</v>
      </c>
      <c r="B29" s="2" t="s">
        <v>24</v>
      </c>
      <c r="C29" s="8">
        <f>COUNTIFS(Raw!$A:$A,$A29,Raw!$B:$B,$B29,Raw!$F:$F,"&gt;0")</f>
        <v>0</v>
      </c>
      <c r="D29" s="4" t="str">
        <f>IF(C29=0,"",AVERAGEIFS(Raw!$F:$F,Raw!$A:$A,$A29,Raw!$B:$B,$B29))</f>
        <v/>
      </c>
      <c r="E29" s="5" t="str">
        <f t="shared" si="0"/>
        <v/>
      </c>
      <c r="F29" s="9"/>
    </row>
    <row r="30" spans="1:6" ht="16" x14ac:dyDescent="0.2">
      <c r="A30" s="2" t="s">
        <v>17</v>
      </c>
      <c r="B30" s="2" t="s">
        <v>25</v>
      </c>
      <c r="C30" s="8">
        <f>COUNTIFS(Raw!$A:$A,$A30,Raw!$B:$B,$B30,Raw!$F:$F,"&gt;0")</f>
        <v>0</v>
      </c>
      <c r="D30" s="4" t="str">
        <f>IF(C30=0,"",AVERAGEIFS(Raw!$F:$F,Raw!$A:$A,$A30,Raw!$B:$B,$B30))</f>
        <v/>
      </c>
      <c r="E30" s="5" t="str">
        <f t="shared" si="0"/>
        <v/>
      </c>
      <c r="F30" s="9"/>
    </row>
    <row r="31" spans="1:6" ht="16" x14ac:dyDescent="0.2">
      <c r="A31" s="2" t="s">
        <v>18</v>
      </c>
      <c r="B31" s="2" t="s">
        <v>11</v>
      </c>
      <c r="C31" s="8">
        <f>COUNTIFS(Raw!$A:$A,$A31,Raw!$B:$B,$B31,Raw!$F:$F,"&gt;0")</f>
        <v>10</v>
      </c>
      <c r="D31" s="4">
        <f>IF(C31=0,"",AVERAGEIFS(Raw!$F:$F,Raw!$A:$A,$A31,Raw!$B:$B,$B31))</f>
        <v>1.2952632954258512</v>
      </c>
      <c r="E31" s="5">
        <f t="shared" si="0"/>
        <v>4.6629478635330646</v>
      </c>
      <c r="F31" s="9"/>
    </row>
    <row r="32" spans="1:6" ht="16" x14ac:dyDescent="0.2">
      <c r="A32" s="2" t="s">
        <v>18</v>
      </c>
      <c r="B32" s="2" t="s">
        <v>12</v>
      </c>
      <c r="C32" s="8">
        <f>COUNTIFS(Raw!$A:$A,$A32,Raw!$B:$B,$B32,Raw!$F:$F,"&gt;0")</f>
        <v>10</v>
      </c>
      <c r="D32" s="4">
        <f>IF(C32=0,"",AVERAGEIFS(Raw!$F:$F,Raw!$A:$A,$A32,Raw!$B:$B,$B32))</f>
        <v>2.3928634528391379</v>
      </c>
      <c r="E32" s="5">
        <f t="shared" si="0"/>
        <v>8.6143084302208965</v>
      </c>
      <c r="F32" s="9"/>
    </row>
    <row r="33" spans="1:6" ht="16" x14ac:dyDescent="0.2">
      <c r="A33" s="2" t="s">
        <v>18</v>
      </c>
      <c r="B33" s="2" t="s">
        <v>13</v>
      </c>
      <c r="C33" s="8">
        <f>COUNTIFS(Raw!$A:$A,$A33,Raw!$B:$B,$B33,Raw!$F:$F,"&gt;0")</f>
        <v>10</v>
      </c>
      <c r="D33" s="4">
        <f>IF(C33=0,"",AVERAGEIFS(Raw!$F:$F,Raw!$A:$A,$A33,Raw!$B:$B,$B33))</f>
        <v>3.0283215988025978</v>
      </c>
      <c r="E33" s="5">
        <f t="shared" si="0"/>
        <v>10.901957755689352</v>
      </c>
      <c r="F33" s="9"/>
    </row>
    <row r="34" spans="1:6" ht="16" x14ac:dyDescent="0.2">
      <c r="A34" s="2" t="s">
        <v>18</v>
      </c>
      <c r="B34" s="2" t="s">
        <v>24</v>
      </c>
      <c r="C34" s="8">
        <f>COUNTIFS(Raw!$A:$A,$A34,Raw!$B:$B,$B34,Raw!$F:$F,"&gt;0")</f>
        <v>0</v>
      </c>
      <c r="D34" s="4" t="str">
        <f>IF(C34=0,"",AVERAGEIFS(Raw!$F:$F,Raw!$A:$A,$A34,Raw!$B:$B,$B34))</f>
        <v/>
      </c>
      <c r="E34" s="5" t="str">
        <f t="shared" si="0"/>
        <v/>
      </c>
      <c r="F34" s="9"/>
    </row>
    <row r="35" spans="1:6" ht="16" x14ac:dyDescent="0.2">
      <c r="A35" s="2" t="s">
        <v>18</v>
      </c>
      <c r="B35" s="2" t="s">
        <v>25</v>
      </c>
      <c r="C35" s="8">
        <f>COUNTIFS(Raw!$A:$A,$A35,Raw!$B:$B,$B35,Raw!$F:$F,"&gt;0")</f>
        <v>0</v>
      </c>
      <c r="D35" s="4" t="str">
        <f>IF(C35=0,"",AVERAGEIFS(Raw!$F:$F,Raw!$A:$A,$A35,Raw!$B:$B,$B35))</f>
        <v/>
      </c>
      <c r="E35" s="5" t="str">
        <f t="shared" si="0"/>
        <v/>
      </c>
      <c r="F35" s="9"/>
    </row>
    <row r="36" spans="1:6" ht="16" x14ac:dyDescent="0.2">
      <c r="A36" s="2" t="s">
        <v>26</v>
      </c>
      <c r="B36" s="2" t="s">
        <v>11</v>
      </c>
      <c r="C36" s="8">
        <f>COUNTIFS(Raw!$A:$A,$A36,Raw!$B:$B,$B36,Raw!$F:$F,"&gt;0")</f>
        <v>16</v>
      </c>
      <c r="D36" s="4">
        <f>IF(C36=0,"",AVERAGEIFS(Raw!$F:$F,Raw!$A:$A,$A36,Raw!$B:$B,$B36))</f>
        <v>1.425186913388373</v>
      </c>
      <c r="E36" s="5">
        <f t="shared" si="0"/>
        <v>5.1306728881981432</v>
      </c>
      <c r="F36" s="9"/>
    </row>
    <row r="37" spans="1:6" ht="16" x14ac:dyDescent="0.2">
      <c r="A37" s="2" t="s">
        <v>26</v>
      </c>
      <c r="B37" s="2" t="s">
        <v>12</v>
      </c>
      <c r="C37" s="8">
        <f>COUNTIFS(Raw!$A:$A,$A37,Raw!$B:$B,$B37,Raw!$F:$F,"&gt;0")</f>
        <v>12</v>
      </c>
      <c r="D37" s="4">
        <f>IF(C37=0,"",AVERAGEIFS(Raw!$F:$F,Raw!$A:$A,$A37,Raw!$B:$B,$B37))</f>
        <v>2.1894190129571052</v>
      </c>
      <c r="E37" s="5">
        <f t="shared" si="0"/>
        <v>7.8819084466455784</v>
      </c>
      <c r="F37" s="9"/>
    </row>
    <row r="38" spans="1:6" ht="16" x14ac:dyDescent="0.2">
      <c r="A38" s="2" t="s">
        <v>26</v>
      </c>
      <c r="B38" s="2" t="s">
        <v>13</v>
      </c>
      <c r="C38" s="8">
        <f>COUNTIFS(Raw!$A:$A,$A38,Raw!$B:$B,$B38,Raw!$F:$F,"&gt;0")</f>
        <v>11</v>
      </c>
      <c r="D38" s="4">
        <f>IF(C38=0,"",AVERAGEIFS(Raw!$F:$F,Raw!$A:$A,$A38,Raw!$B:$B,$B38))</f>
        <v>2.4359401406351826</v>
      </c>
      <c r="E38" s="5">
        <f t="shared" ref="E38:E55" si="1">IF(D38="","",D38*3.6)</f>
        <v>8.7693845062866576</v>
      </c>
      <c r="F38" s="9"/>
    </row>
    <row r="39" spans="1:6" ht="16" x14ac:dyDescent="0.2">
      <c r="A39" s="2" t="s">
        <v>26</v>
      </c>
      <c r="B39" s="2" t="s">
        <v>24</v>
      </c>
      <c r="C39" s="8">
        <f>COUNTIFS(Raw!$A:$A,$A39,Raw!$B:$B,$B39,Raw!$F:$F,"&gt;0")</f>
        <v>0</v>
      </c>
      <c r="D39" s="4" t="str">
        <f>IF(C39=0,"",AVERAGEIFS(Raw!$F:$F,Raw!$A:$A,$A39,Raw!$B:$B,$B39))</f>
        <v/>
      </c>
      <c r="E39" s="5" t="str">
        <f t="shared" si="1"/>
        <v/>
      </c>
      <c r="F39" s="9"/>
    </row>
    <row r="40" spans="1:6" ht="16" x14ac:dyDescent="0.2">
      <c r="A40" s="2" t="s">
        <v>26</v>
      </c>
      <c r="B40" s="2" t="s">
        <v>25</v>
      </c>
      <c r="C40" s="8">
        <f>COUNTIFS(Raw!$A:$A,$A40,Raw!$B:$B,$B40,Raw!$F:$F,"&gt;0")</f>
        <v>0</v>
      </c>
      <c r="D40" s="4" t="str">
        <f>IF(C40=0,"",AVERAGEIFS(Raw!$F:$F,Raw!$A:$A,$A40,Raw!$B:$B,$B40))</f>
        <v/>
      </c>
      <c r="E40" s="5" t="str">
        <f t="shared" si="1"/>
        <v/>
      </c>
      <c r="F40" s="9"/>
    </row>
    <row r="41" spans="1:6" ht="16" x14ac:dyDescent="0.2">
      <c r="A41" s="2" t="s">
        <v>27</v>
      </c>
      <c r="B41" s="2" t="s">
        <v>11</v>
      </c>
      <c r="C41" s="8">
        <f>COUNTIFS(Raw!$A:$A,$A41,Raw!$B:$B,$B41,Raw!$F:$F,"&gt;0")</f>
        <v>10</v>
      </c>
      <c r="D41" s="4">
        <f>IF(C41=0,"",AVERAGEIFS(Raw!$F:$F,Raw!$A:$A,$A41,Raw!$B:$B,$B41))</f>
        <v>1.4479999999999997</v>
      </c>
      <c r="E41" s="5">
        <f t="shared" si="1"/>
        <v>5.2127999999999988</v>
      </c>
      <c r="F41" s="9"/>
    </row>
    <row r="42" spans="1:6" ht="16" x14ac:dyDescent="0.2">
      <c r="A42" s="2" t="s">
        <v>27</v>
      </c>
      <c r="B42" s="2" t="s">
        <v>12</v>
      </c>
      <c r="C42" s="8">
        <f>COUNTIFS(Raw!$A:$A,$A42,Raw!$B:$B,$B42,Raw!$F:$F,"&gt;0")</f>
        <v>11</v>
      </c>
      <c r="D42" s="4">
        <f>IF(C42=0,"",AVERAGEIFS(Raw!$F:$F,Raw!$A:$A,$A42,Raw!$B:$B,$B42))</f>
        <v>2.8045454545454542</v>
      </c>
      <c r="E42" s="5">
        <f t="shared" si="1"/>
        <v>10.096363636363636</v>
      </c>
      <c r="F42" s="9"/>
    </row>
    <row r="43" spans="1:6" ht="16" x14ac:dyDescent="0.2">
      <c r="A43" s="2" t="s">
        <v>27</v>
      </c>
      <c r="B43" s="2" t="s">
        <v>13</v>
      </c>
      <c r="C43" s="8">
        <f>COUNTIFS(Raw!$A:$A,$A43,Raw!$B:$B,$B43,Raw!$F:$F,"&gt;0")</f>
        <v>7</v>
      </c>
      <c r="D43" s="4">
        <f>IF(C43=0,"",AVERAGEIFS(Raw!$F:$F,Raw!$A:$A,$A43,Raw!$B:$B,$B43))</f>
        <v>3.6542857142857144</v>
      </c>
      <c r="E43" s="5">
        <f t="shared" si="1"/>
        <v>13.155428571428573</v>
      </c>
      <c r="F43" s="9"/>
    </row>
    <row r="44" spans="1:6" ht="16" x14ac:dyDescent="0.2">
      <c r="A44" s="2" t="s">
        <v>27</v>
      </c>
      <c r="B44" s="2" t="s">
        <v>24</v>
      </c>
      <c r="C44" s="8">
        <f>COUNTIFS(Raw!$A:$A,$A44,Raw!$B:$B,$B44,Raw!$F:$F,"&gt;0")</f>
        <v>0</v>
      </c>
      <c r="D44" s="4" t="str">
        <f>IF(C44=0,"",AVERAGEIFS(Raw!$F:$F,Raw!$A:$A,$A44,Raw!$B:$B,$B44))</f>
        <v/>
      </c>
      <c r="E44" s="5" t="str">
        <f t="shared" si="1"/>
        <v/>
      </c>
      <c r="F44" s="9"/>
    </row>
    <row r="45" spans="1:6" ht="16" x14ac:dyDescent="0.2">
      <c r="A45" s="2" t="s">
        <v>27</v>
      </c>
      <c r="B45" s="2" t="s">
        <v>25</v>
      </c>
      <c r="C45" s="8">
        <f>COUNTIFS(Raw!$A:$A,$A45,Raw!$B:$B,$B45,Raw!$F:$F,"&gt;0")</f>
        <v>0</v>
      </c>
      <c r="D45" s="4" t="str">
        <f>IF(C45=0,"",AVERAGEIFS(Raw!$F:$F,Raw!$A:$A,$A45,Raw!$B:$B,$B45))</f>
        <v/>
      </c>
      <c r="E45" s="5" t="str">
        <f t="shared" si="1"/>
        <v/>
      </c>
      <c r="F45" s="9"/>
    </row>
    <row r="46" spans="1:6" ht="16" x14ac:dyDescent="0.2">
      <c r="A46" s="2" t="s">
        <v>28</v>
      </c>
      <c r="B46" s="2" t="s">
        <v>11</v>
      </c>
      <c r="C46" s="8">
        <f>COUNTIFS(Raw!$A:$A,$A46,Raw!$B:$B,$B46,Raw!$F:$F,"&gt;0")</f>
        <v>6</v>
      </c>
      <c r="D46" s="4">
        <f>IF(C46=0,"",AVERAGEIFS(Raw!$F:$F,Raw!$A:$A,$A46,Raw!$B:$B,$B46))</f>
        <v>1.3183106812461434</v>
      </c>
      <c r="E46" s="5">
        <f t="shared" si="1"/>
        <v>4.7459184524861167</v>
      </c>
      <c r="F46" s="9"/>
    </row>
    <row r="47" spans="1:6" ht="16" x14ac:dyDescent="0.2">
      <c r="A47" s="2" t="s">
        <v>28</v>
      </c>
      <c r="B47" s="2" t="s">
        <v>12</v>
      </c>
      <c r="C47" s="8">
        <f>COUNTIFS(Raw!$A:$A,$A47,Raw!$B:$B,$B47,Raw!$F:$F,"&gt;0")</f>
        <v>6</v>
      </c>
      <c r="D47" s="4">
        <f>IF(C47=0,"",AVERAGEIFS(Raw!$F:$F,Raw!$A:$A,$A47,Raw!$B:$B,$B47))</f>
        <v>1.9602614394064606</v>
      </c>
      <c r="E47" s="5">
        <f t="shared" si="1"/>
        <v>7.0569411818632579</v>
      </c>
      <c r="F47" s="9"/>
    </row>
    <row r="48" spans="1:6" ht="16" x14ac:dyDescent="0.2">
      <c r="A48" s="2" t="s">
        <v>28</v>
      </c>
      <c r="B48" s="2" t="s">
        <v>13</v>
      </c>
      <c r="C48" s="8">
        <f>COUNTIFS(Raw!$A:$A,$A48,Raw!$B:$B,$B48,Raw!$F:$F,"&gt;0")</f>
        <v>6</v>
      </c>
      <c r="D48" s="4">
        <f>IF(C48=0,"",AVERAGEIFS(Raw!$F:$F,Raw!$A:$A,$A48,Raw!$B:$B,$B48))</f>
        <v>2.6187146538631643</v>
      </c>
      <c r="E48" s="5">
        <f t="shared" si="1"/>
        <v>9.4273727539073917</v>
      </c>
      <c r="F48" s="9"/>
    </row>
    <row r="49" spans="1:6" ht="16" x14ac:dyDescent="0.2">
      <c r="A49" s="2" t="s">
        <v>28</v>
      </c>
      <c r="B49" s="2" t="s">
        <v>24</v>
      </c>
      <c r="C49" s="8">
        <f>COUNTIFS(Raw!$A:$A,$A49,Raw!$B:$B,$B49,Raw!$F:$F,"&gt;0")</f>
        <v>0</v>
      </c>
      <c r="D49" s="4" t="str">
        <f>IF(C49=0,"",AVERAGEIFS(Raw!$F:$F,Raw!$A:$A,$A49,Raw!$B:$B,$B49))</f>
        <v/>
      </c>
      <c r="E49" s="5" t="str">
        <f t="shared" si="1"/>
        <v/>
      </c>
      <c r="F49" s="9"/>
    </row>
    <row r="50" spans="1:6" ht="16" x14ac:dyDescent="0.2">
      <c r="A50" s="2" t="s">
        <v>28</v>
      </c>
      <c r="B50" s="2" t="s">
        <v>25</v>
      </c>
      <c r="C50" s="8">
        <f>COUNTIFS(Raw!$A:$A,$A50,Raw!$B:$B,$B50,Raw!$F:$F,"&gt;0")</f>
        <v>0</v>
      </c>
      <c r="D50" s="4" t="str">
        <f>IF(C50=0,"",AVERAGEIFS(Raw!$F:$F,Raw!$A:$A,$A50,Raw!$B:$B,$B50))</f>
        <v/>
      </c>
      <c r="E50" s="5" t="str">
        <f t="shared" si="1"/>
        <v/>
      </c>
      <c r="F50" s="9"/>
    </row>
    <row r="51" spans="1:6" ht="16" x14ac:dyDescent="0.2">
      <c r="A51" s="2" t="s">
        <v>29</v>
      </c>
      <c r="B51" s="2" t="s">
        <v>11</v>
      </c>
      <c r="C51" s="8">
        <f>COUNTIFS(Raw!$A:$A,$A51,Raw!$B:$B,$B51,Raw!$F:$F,"&gt;0")</f>
        <v>9</v>
      </c>
      <c r="D51" s="4">
        <f>IF(C51=0,"",AVERAGEIFS(Raw!$F:$F,Raw!$A:$A,$A51,Raw!$B:$B,$B51))</f>
        <v>1.5605367602435765</v>
      </c>
      <c r="E51" s="5">
        <f t="shared" si="1"/>
        <v>5.6179323368768754</v>
      </c>
      <c r="F51" s="9"/>
    </row>
    <row r="52" spans="1:6" ht="16" x14ac:dyDescent="0.2">
      <c r="A52" s="2" t="s">
        <v>29</v>
      </c>
      <c r="B52" s="2" t="s">
        <v>12</v>
      </c>
      <c r="C52" s="8">
        <f>COUNTIFS(Raw!$A:$A,$A52,Raw!$B:$B,$B52,Raw!$F:$F,"&gt;0")</f>
        <v>11</v>
      </c>
      <c r="D52" s="4">
        <f>IF(C52=0,"",AVERAGEIFS(Raw!$F:$F,Raw!$A:$A,$A52,Raw!$B:$B,$B52))</f>
        <v>2.8263944347952856</v>
      </c>
      <c r="E52" s="5">
        <f t="shared" si="1"/>
        <v>10.175019965263029</v>
      </c>
      <c r="F52" s="9"/>
    </row>
    <row r="53" spans="1:6" ht="16" x14ac:dyDescent="0.2">
      <c r="A53" s="2" t="s">
        <v>29</v>
      </c>
      <c r="B53" s="2" t="s">
        <v>13</v>
      </c>
      <c r="C53" s="8">
        <f>COUNTIFS(Raw!$A:$A,$A53,Raw!$B:$B,$B53,Raw!$F:$F,"&gt;0")</f>
        <v>11</v>
      </c>
      <c r="D53" s="4">
        <f>IF(C53=0,"",AVERAGEIFS(Raw!$F:$F,Raw!$A:$A,$A53,Raw!$B:$B,$B53))</f>
        <v>3.0354606595155658</v>
      </c>
      <c r="E53" s="5">
        <f t="shared" si="1"/>
        <v>10.927658374256037</v>
      </c>
      <c r="F53" s="9"/>
    </row>
    <row r="54" spans="1:6" ht="16" x14ac:dyDescent="0.2">
      <c r="A54" s="2" t="s">
        <v>29</v>
      </c>
      <c r="B54" s="2" t="s">
        <v>24</v>
      </c>
      <c r="C54" s="8">
        <f>COUNTIFS(Raw!$A:$A,$A54,Raw!$B:$B,$B54,Raw!$F:$F,"&gt;0")</f>
        <v>0</v>
      </c>
      <c r="D54" s="4" t="str">
        <f>IF(C54=0,"",AVERAGEIFS(Raw!$F:$F,Raw!$A:$A,$A54,Raw!$B:$B,$B54))</f>
        <v/>
      </c>
      <c r="E54" s="5" t="str">
        <f t="shared" si="1"/>
        <v/>
      </c>
      <c r="F54" s="9"/>
    </row>
    <row r="55" spans="1:6" ht="16" x14ac:dyDescent="0.2">
      <c r="A55" s="2" t="s">
        <v>29</v>
      </c>
      <c r="B55" s="2" t="s">
        <v>25</v>
      </c>
      <c r="C55" s="8">
        <f>COUNTIFS(Raw!$A:$A,$A55,Raw!$B:$B,$B55,Raw!$F:$F,"&gt;0")</f>
        <v>0</v>
      </c>
      <c r="D55" s="4" t="str">
        <f>IF(C55=0,"",AVERAGEIFS(Raw!$F:$F,Raw!$A:$A,$A55,Raw!$B:$B,$B55))</f>
        <v/>
      </c>
      <c r="E55" s="5" t="str">
        <f t="shared" si="1"/>
        <v/>
      </c>
      <c r="F55" s="9"/>
    </row>
    <row r="57" spans="1:6" ht="16" x14ac:dyDescent="0.2">
      <c r="A57" s="2" t="s">
        <v>30</v>
      </c>
      <c r="B57" s="2" t="s">
        <v>30</v>
      </c>
      <c r="C57" s="8">
        <f>COUNTIF(Raw!$F:$F,"&gt;0")</f>
        <v>303</v>
      </c>
      <c r="D57" s="4">
        <f>IF(C57=0,"",AVERAGEIF(Raw!$F:$F,"&gt;0",Raw!$F:$F))</f>
        <v>2.4129885488794227</v>
      </c>
      <c r="E57" s="5">
        <f>IF(D57="","",D57*3.6)</f>
        <v>8.6867587759659219</v>
      </c>
      <c r="F57" s="9" t="s">
        <v>31</v>
      </c>
    </row>
  </sheetData>
  <mergeCells count="2">
    <mergeCell ref="A2:F3"/>
    <mergeCell ref="A1:F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PARVIN GHAFFARZADEH</cp:lastModifiedBy>
  <cp:revision/>
  <dcterms:created xsi:type="dcterms:W3CDTF">2026-01-14T17:40:19Z</dcterms:created>
  <dcterms:modified xsi:type="dcterms:W3CDTF">2026-01-25T17:02:10Z</dcterms:modified>
  <cp:category/>
  <cp:contentStatus/>
</cp:coreProperties>
</file>